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METROLOGO\Documents\CODIGOS\APP\"/>
    </mc:Choice>
  </mc:AlternateContent>
  <xr:revisionPtr revIDLastSave="0" documentId="13_ncr:1_{6DD6EAD6-ECC4-481B-A3AB-6F77C1080086}" xr6:coauthVersionLast="47" xr6:coauthVersionMax="47" xr10:uidLastSave="{00000000-0000-0000-0000-000000000000}"/>
  <bookViews>
    <workbookView xWindow="-120" yWindow="-120" windowWidth="29040" windowHeight="15840" activeTab="4" xr2:uid="{00000000-000D-0000-FFFF-FFFF00000000}"/>
  </bookViews>
  <sheets>
    <sheet name="Programación" sheetId="3" r:id="rId1"/>
    <sheet name="VG -Viga" sheetId="5" r:id="rId2"/>
    <sheet name="CIL -Cilindro" sheetId="6" r:id="rId3"/>
    <sheet name="NC - Núcleo Concreto" sheetId="7" r:id="rId4"/>
    <sheet name="base" sheetId="4" r:id="rId5"/>
  </sheets>
  <functionGroups builtInGroupCount="19"/>
  <definedNames>
    <definedName name="_xlnm.Print_Area" localSheetId="2">'CIL -Cilindro'!$A$1:$BN$46</definedName>
    <definedName name="_xlnm.Print_Area" localSheetId="3">'NC - Núcleo Concreto'!$A$1:$BK$48</definedName>
    <definedName name="_xlnm.Print_Area" localSheetId="0">Programación!$A$1:$Y$31</definedName>
    <definedName name="_xlnm.Print_Area" localSheetId="1">'VG -Viga'!$A$1:$AX$46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2" i="3" l="1"/>
  <c r="V12" i="3"/>
  <c r="T12" i="3"/>
  <c r="R12" i="3"/>
  <c r="P12" i="3"/>
  <c r="N12" i="3"/>
  <c r="L12" i="3"/>
  <c r="J12" i="3"/>
  <c r="H12" i="3"/>
  <c r="X14" i="3"/>
  <c r="V14" i="3"/>
  <c r="T14" i="3"/>
  <c r="R14" i="3"/>
  <c r="P14" i="3"/>
  <c r="N14" i="3"/>
  <c r="L14" i="3"/>
  <c r="J14" i="3"/>
  <c r="H14" i="3"/>
  <c r="W11" i="3"/>
  <c r="U11" i="3"/>
  <c r="S11" i="3"/>
  <c r="Q11" i="3"/>
  <c r="O11" i="3"/>
  <c r="M11" i="3"/>
  <c r="K11" i="3"/>
  <c r="I11" i="3"/>
  <c r="G11" i="3"/>
  <c r="M24" i="3" l="1"/>
  <c r="AG23" i="6"/>
  <c r="AG24" i="6"/>
  <c r="AG25" i="6"/>
  <c r="AG26" i="6"/>
  <c r="AG27" i="6"/>
  <c r="AG28" i="6"/>
  <c r="AG29" i="6"/>
  <c r="AG30" i="6"/>
  <c r="AG31" i="6"/>
  <c r="AG32" i="6"/>
  <c r="AG33" i="6"/>
  <c r="AG34" i="6"/>
  <c r="AG35" i="6"/>
  <c r="AG36" i="6"/>
  <c r="AG37" i="6"/>
  <c r="AG38" i="6"/>
  <c r="AG39" i="6"/>
  <c r="AG40" i="6"/>
  <c r="AG41" i="6"/>
  <c r="AG22" i="6"/>
  <c r="T21" i="5"/>
  <c r="T24" i="5"/>
  <c r="T27" i="5"/>
  <c r="T30" i="5"/>
  <c r="T33" i="5"/>
  <c r="T36" i="5"/>
  <c r="T39" i="5"/>
  <c r="T18" i="5"/>
  <c r="K24" i="3" l="1"/>
  <c r="I24" i="3"/>
  <c r="O24" i="3" l="1"/>
  <c r="BS41" i="6" l="1"/>
  <c r="BS40" i="6"/>
  <c r="BS39" i="6"/>
  <c r="BS38" i="6"/>
  <c r="BS37" i="6"/>
  <c r="BS36" i="6"/>
  <c r="BS35" i="6"/>
  <c r="BS34" i="6"/>
  <c r="BS33" i="6"/>
  <c r="BS32" i="6"/>
  <c r="BS31" i="6"/>
  <c r="BS30" i="6"/>
  <c r="BS29" i="6"/>
  <c r="BS28" i="6"/>
  <c r="BS27" i="6"/>
  <c r="BS26" i="6"/>
  <c r="BS25" i="6"/>
  <c r="BS24" i="6"/>
  <c r="BS23" i="6"/>
  <c r="BS22" i="6"/>
  <c r="BB39" i="5" l="1"/>
  <c r="BB36" i="5"/>
  <c r="BB33" i="5"/>
  <c r="BB30" i="5"/>
  <c r="BB27" i="5"/>
  <c r="BB24" i="5"/>
  <c r="BB21" i="5"/>
  <c r="BB18" i="5"/>
  <c r="Q24" i="3" l="1"/>
  <c r="S24" i="3"/>
  <c r="U24" i="3"/>
  <c r="W24" i="3"/>
  <c r="Y24" i="3"/>
  <c r="G24" i="3"/>
</calcChain>
</file>

<file path=xl/sharedStrings.xml><?xml version="1.0" encoding="utf-8"?>
<sst xmlns="http://schemas.openxmlformats.org/spreadsheetml/2006/main" count="892" uniqueCount="742">
  <si>
    <t>CANTIDAD DE ENSAYOS</t>
  </si>
  <si>
    <t xml:space="preserve">PROYECTO:    </t>
  </si>
  <si>
    <t>Ordenado por:</t>
  </si>
  <si>
    <t>Cliente</t>
  </si>
  <si>
    <t>Muestra recibida por:</t>
  </si>
  <si>
    <t>OBSERVACIONES:</t>
  </si>
  <si>
    <t>Coordinador de laboratorio</t>
  </si>
  <si>
    <t>Nombre:</t>
  </si>
  <si>
    <t>CÓDIGO
INTERNO</t>
  </si>
  <si>
    <t>ENSAYOS EN SUELOS</t>
  </si>
  <si>
    <t>S001</t>
  </si>
  <si>
    <t>S002</t>
  </si>
  <si>
    <t>S003</t>
  </si>
  <si>
    <t>S004</t>
  </si>
  <si>
    <t>S005</t>
  </si>
  <si>
    <t>S006</t>
  </si>
  <si>
    <t>*** Compresión cíclica (suelos)</t>
  </si>
  <si>
    <t>S007</t>
  </si>
  <si>
    <t>S008</t>
  </si>
  <si>
    <t>S009</t>
  </si>
  <si>
    <t>S010</t>
  </si>
  <si>
    <t>S011</t>
  </si>
  <si>
    <t>S012</t>
  </si>
  <si>
    <t>S013</t>
  </si>
  <si>
    <t>-</t>
  </si>
  <si>
    <t>S014</t>
  </si>
  <si>
    <t>S015</t>
  </si>
  <si>
    <t>S016</t>
  </si>
  <si>
    <t>S017</t>
  </si>
  <si>
    <t>S018</t>
  </si>
  <si>
    <t>S019</t>
  </si>
  <si>
    <t>S019A</t>
  </si>
  <si>
    <t>S020</t>
  </si>
  <si>
    <t>S021</t>
  </si>
  <si>
    <t>S022</t>
  </si>
  <si>
    <t>S023</t>
  </si>
  <si>
    <t>S024</t>
  </si>
  <si>
    <t xml:space="preserve">*** Expansión libre en probeta. </t>
  </si>
  <si>
    <t>S025</t>
  </si>
  <si>
    <t>S026</t>
  </si>
  <si>
    <t>S027</t>
  </si>
  <si>
    <t>S028</t>
  </si>
  <si>
    <t>S029</t>
  </si>
  <si>
    <t>S030</t>
  </si>
  <si>
    <t>S031</t>
  </si>
  <si>
    <t>S032</t>
  </si>
  <si>
    <t>S033</t>
  </si>
  <si>
    <t>S034</t>
  </si>
  <si>
    <t>S035A</t>
  </si>
  <si>
    <t>S035</t>
  </si>
  <si>
    <t>S036A</t>
  </si>
  <si>
    <t>S036</t>
  </si>
  <si>
    <t>S037</t>
  </si>
  <si>
    <t>S038</t>
  </si>
  <si>
    <t>S039</t>
  </si>
  <si>
    <t>S040</t>
  </si>
  <si>
    <t>S041</t>
  </si>
  <si>
    <t>S042</t>
  </si>
  <si>
    <t>S045</t>
  </si>
  <si>
    <t>S046</t>
  </si>
  <si>
    <t>S047</t>
  </si>
  <si>
    <t>S048</t>
  </si>
  <si>
    <t>S049</t>
  </si>
  <si>
    <t>S050</t>
  </si>
  <si>
    <t>S058</t>
  </si>
  <si>
    <t>*** Down Hole (según profundidad)</t>
  </si>
  <si>
    <t>S059</t>
  </si>
  <si>
    <t>A001</t>
  </si>
  <si>
    <t>A001A</t>
  </si>
  <si>
    <t>A002</t>
  </si>
  <si>
    <t>A003</t>
  </si>
  <si>
    <t>A004</t>
  </si>
  <si>
    <t>A005</t>
  </si>
  <si>
    <t>A006</t>
  </si>
  <si>
    <t>A007</t>
  </si>
  <si>
    <t>A008</t>
  </si>
  <si>
    <t>A009</t>
  </si>
  <si>
    <t>A010</t>
  </si>
  <si>
    <t>A011</t>
  </si>
  <si>
    <t>A011A</t>
  </si>
  <si>
    <t>A012</t>
  </si>
  <si>
    <t>A013</t>
  </si>
  <si>
    <t>A014</t>
  </si>
  <si>
    <t>A015</t>
  </si>
  <si>
    <t>A016</t>
  </si>
  <si>
    <t>A016A</t>
  </si>
  <si>
    <t>A017</t>
  </si>
  <si>
    <t>*** Determinación de la limpieza superficial de las partículas de agregado grueso.</t>
  </si>
  <si>
    <t>A018</t>
  </si>
  <si>
    <t>A019</t>
  </si>
  <si>
    <t>A020</t>
  </si>
  <si>
    <t>A021</t>
  </si>
  <si>
    <t>A022</t>
  </si>
  <si>
    <t>A023</t>
  </si>
  <si>
    <t>*** Coeficiente de pulimiento acelerado</t>
  </si>
  <si>
    <t>A024</t>
  </si>
  <si>
    <t>R001</t>
  </si>
  <si>
    <t>R002</t>
  </si>
  <si>
    <t>R002A</t>
  </si>
  <si>
    <t>R003</t>
  </si>
  <si>
    <t>R003A</t>
  </si>
  <si>
    <t>R004</t>
  </si>
  <si>
    <t>R005</t>
  </si>
  <si>
    <t>R006</t>
  </si>
  <si>
    <t>R007</t>
  </si>
  <si>
    <t>R008</t>
  </si>
  <si>
    <t>R009</t>
  </si>
  <si>
    <t>R010</t>
  </si>
  <si>
    <t>R011</t>
  </si>
  <si>
    <t>R012</t>
  </si>
  <si>
    <t>R012A</t>
  </si>
  <si>
    <t>R013</t>
  </si>
  <si>
    <t>R013A</t>
  </si>
  <si>
    <t>R014</t>
  </si>
  <si>
    <t>R015</t>
  </si>
  <si>
    <t>R016</t>
  </si>
  <si>
    <t>R017</t>
  </si>
  <si>
    <t>R018</t>
  </si>
  <si>
    <t>R019</t>
  </si>
  <si>
    <t>R020</t>
  </si>
  <si>
    <t>P001</t>
  </si>
  <si>
    <t>P002</t>
  </si>
  <si>
    <t>P003</t>
  </si>
  <si>
    <t>P003A</t>
  </si>
  <si>
    <t>***Gravedad específica Bulk y Densidad de Mezclas Asfálticas compactadas absorbentes empleando especímenes recubiertos con una película de Parafina.</t>
  </si>
  <si>
    <t>P004</t>
  </si>
  <si>
    <t>P005</t>
  </si>
  <si>
    <t>P006</t>
  </si>
  <si>
    <t>P007</t>
  </si>
  <si>
    <t>P007A</t>
  </si>
  <si>
    <t>P008</t>
  </si>
  <si>
    <t>P009</t>
  </si>
  <si>
    <t>*** Viga Benkelman doble</t>
  </si>
  <si>
    <t>P010</t>
  </si>
  <si>
    <t>P011</t>
  </si>
  <si>
    <t>P012</t>
  </si>
  <si>
    <t>P013</t>
  </si>
  <si>
    <t>*** Placa con carga estática no repetida (no incluye volqueta).</t>
  </si>
  <si>
    <t>P014</t>
  </si>
  <si>
    <t>P015</t>
  </si>
  <si>
    <t xml:space="preserve">*** Residuo por destilación </t>
  </si>
  <si>
    <t>P016</t>
  </si>
  <si>
    <t>P017</t>
  </si>
  <si>
    <t>P018</t>
  </si>
  <si>
    <t>P019</t>
  </si>
  <si>
    <t>P020</t>
  </si>
  <si>
    <t>Inmersión compresión bases estabilizadas</t>
  </si>
  <si>
    <t>M001</t>
  </si>
  <si>
    <t>M002</t>
  </si>
  <si>
    <t>M003</t>
  </si>
  <si>
    <t>M004</t>
  </si>
  <si>
    <t>M005</t>
  </si>
  <si>
    <t>M006</t>
  </si>
  <si>
    <t>M007</t>
  </si>
  <si>
    <t>M008</t>
  </si>
  <si>
    <t>M008A</t>
  </si>
  <si>
    <t>M009</t>
  </si>
  <si>
    <t>*** Carbonatación en elementos de concreto</t>
  </si>
  <si>
    <t>UNE 112-011-11</t>
  </si>
  <si>
    <t>M010</t>
  </si>
  <si>
    <t>*** Corte y preparación de caras para pruebas de compresión de núcleos</t>
  </si>
  <si>
    <t>M011</t>
  </si>
  <si>
    <t>M012</t>
  </si>
  <si>
    <t>M013</t>
  </si>
  <si>
    <t>M014</t>
  </si>
  <si>
    <t>M015</t>
  </si>
  <si>
    <t>M016</t>
  </si>
  <si>
    <t>M017</t>
  </si>
  <si>
    <t>M018</t>
  </si>
  <si>
    <t>M019</t>
  </si>
  <si>
    <t>M020</t>
  </si>
  <si>
    <t>M021</t>
  </si>
  <si>
    <t>M022</t>
  </si>
  <si>
    <t>M025</t>
  </si>
  <si>
    <t>M026</t>
  </si>
  <si>
    <t>M027</t>
  </si>
  <si>
    <t>M028</t>
  </si>
  <si>
    <t>M029</t>
  </si>
  <si>
    <t>M030</t>
  </si>
  <si>
    <t>M031</t>
  </si>
  <si>
    <t>M032</t>
  </si>
  <si>
    <t>M033</t>
  </si>
  <si>
    <t>M034</t>
  </si>
  <si>
    <t>M036</t>
  </si>
  <si>
    <t>M037</t>
  </si>
  <si>
    <t xml:space="preserve">*** Impacto en tejas de arcilla </t>
  </si>
  <si>
    <t>M038</t>
  </si>
  <si>
    <t xml:space="preserve">*** Absorción en tejas de arcilla </t>
  </si>
  <si>
    <t>M039</t>
  </si>
  <si>
    <t xml:space="preserve">*** Flexión en tejas de arcilla </t>
  </si>
  <si>
    <t>M040</t>
  </si>
  <si>
    <t>M041</t>
  </si>
  <si>
    <t>M042</t>
  </si>
  <si>
    <t>M045</t>
  </si>
  <si>
    <t>M046</t>
  </si>
  <si>
    <t>DOCUMENTO
NORMATIVO 1</t>
  </si>
  <si>
    <t>DOCUMENTO NORMATIVO 2</t>
  </si>
  <si>
    <t>SYP-PA-DT-F005</t>
  </si>
  <si>
    <t>CÓDIGO DEL CLIENTE:</t>
  </si>
  <si>
    <t>R.M  No.</t>
  </si>
  <si>
    <t>ANEXO No.</t>
  </si>
  <si>
    <t>Código interno / nombre del ensayo / norma técnica</t>
  </si>
  <si>
    <t>COTIZACIÓN No.</t>
  </si>
  <si>
    <t>ORDEN DE TRABAJO No.</t>
  </si>
  <si>
    <t>SYP-PT-DT-F011</t>
  </si>
  <si>
    <t>PROYECTO:</t>
  </si>
  <si>
    <t xml:space="preserve"> </t>
  </si>
  <si>
    <t>CÓDIGO CLIENTE:</t>
  </si>
  <si>
    <r>
      <t xml:space="preserve">EQUIPOS:   </t>
    </r>
    <r>
      <rPr>
        <sz val="9"/>
        <rFont val="Arial"/>
        <family val="2"/>
      </rPr>
      <t xml:space="preserve">    PRENSA No.                CALIBRADOR PIE DE REY No.                FLEXÓMETRO No.</t>
    </r>
    <r>
      <rPr>
        <b/>
        <sz val="9"/>
        <rFont val="Arial"/>
        <family val="2"/>
      </rPr>
      <t xml:space="preserve">              </t>
    </r>
    <r>
      <rPr>
        <sz val="9"/>
        <rFont val="Arial"/>
        <family val="2"/>
      </rPr>
      <t>PISCINA No. 01           TERMOMETRO No.</t>
    </r>
  </si>
  <si>
    <t>VARILLAS DE ACERO No.</t>
  </si>
  <si>
    <t>BLOQUE DE CARGA No.</t>
  </si>
  <si>
    <t xml:space="preserve">  Muestras Transportadas por el Cliente:  SI_____  NO______    Muestras elaboradas por el Cliente:  SI ______   NO______                                                                                                                                                                                                                                                                                                                                                                                                                             </t>
  </si>
  <si>
    <t>ESPECÍMEN</t>
  </si>
  <si>
    <t>CURADO</t>
  </si>
  <si>
    <t>NIVELACIÓN  ELEMENTO</t>
  </si>
  <si>
    <t>CONDICIÓN DE HUMEDAD APARENTE</t>
  </si>
  <si>
    <t>POSICIÓN DE CONTROL DE VELOCIDAD DE ENSAYO EN LA MÁQUINA:</t>
  </si>
  <si>
    <t xml:space="preserve">cortado </t>
  </si>
  <si>
    <t>fundido</t>
  </si>
  <si>
    <t>cuarto húmedo</t>
  </si>
  <si>
    <t>en agua</t>
  </si>
  <si>
    <t>refrentado</t>
  </si>
  <si>
    <t>pulido (esmerilado)</t>
  </si>
  <si>
    <t>cuña de cuero</t>
  </si>
  <si>
    <t xml:space="preserve">seco </t>
  </si>
  <si>
    <t>húmedo</t>
  </si>
  <si>
    <t>Viga No.</t>
  </si>
  <si>
    <t>Localización</t>
  </si>
  <si>
    <t>Fecha de Vaciado</t>
  </si>
  <si>
    <t>Edad</t>
  </si>
  <si>
    <t>Fecha de Ensayo</t>
  </si>
  <si>
    <t>Dimensiones (mm)</t>
  </si>
  <si>
    <t>Defectos</t>
  </si>
  <si>
    <t>Carga Máxima (kN)___  (kgf)___</t>
  </si>
  <si>
    <t>Dimensiones sección transversal</t>
  </si>
  <si>
    <t xml:space="preserve">Fractura </t>
  </si>
  <si>
    <r>
      <rPr>
        <b/>
        <sz val="8"/>
        <rFont val="Arial"/>
        <family val="2"/>
      </rPr>
      <t>a</t>
    </r>
    <r>
      <rPr>
        <sz val="8"/>
        <rFont val="Arial"/>
        <family val="2"/>
      </rPr>
      <t>, Distancia entre la línea de fractura y el soporte más cercano (#7,2) en mm</t>
    </r>
  </si>
  <si>
    <t>año</t>
  </si>
  <si>
    <t>mes</t>
  </si>
  <si>
    <t>día</t>
  </si>
  <si>
    <t>(días)</t>
  </si>
  <si>
    <t xml:space="preserve">largo </t>
  </si>
  <si>
    <t xml:space="preserve">alto </t>
  </si>
  <si>
    <t>Distancia entre apoyos</t>
  </si>
  <si>
    <t>Rebabas</t>
  </si>
  <si>
    <t>Desportillado</t>
  </si>
  <si>
    <t>Desnivelado</t>
  </si>
  <si>
    <t>Poroso</t>
  </si>
  <si>
    <t>Fracturado</t>
  </si>
  <si>
    <t>Fisuras</t>
  </si>
  <si>
    <t>Contaminado</t>
  </si>
  <si>
    <t>#7,1</t>
  </si>
  <si>
    <t>#7,2</t>
  </si>
  <si>
    <t>#7,3</t>
  </si>
  <si>
    <r>
      <rPr>
        <b/>
        <sz val="8"/>
        <rFont val="Arial"/>
        <family val="2"/>
      </rPr>
      <t>Fractura</t>
    </r>
    <r>
      <rPr>
        <sz val="8"/>
        <rFont val="Arial"/>
        <family val="2"/>
      </rPr>
      <t xml:space="preserve">: </t>
    </r>
    <r>
      <rPr>
        <b/>
        <sz val="8"/>
        <rFont val="Arial"/>
        <family val="2"/>
      </rPr>
      <t>#7,1</t>
    </r>
    <r>
      <rPr>
        <sz val="8"/>
        <rFont val="Arial"/>
        <family val="2"/>
      </rPr>
      <t xml:space="preserve"> la fractura se inicia en la zona de tensión, dentro del tercio medio de la luz; </t>
    </r>
    <r>
      <rPr>
        <b/>
        <sz val="8"/>
        <rFont val="Arial"/>
        <family val="2"/>
      </rPr>
      <t xml:space="preserve"># 7,2 </t>
    </r>
    <r>
      <rPr>
        <sz val="8"/>
        <rFont val="Arial"/>
        <family val="2"/>
      </rPr>
      <t xml:space="preserve">la fractura ocurre en la zona de tensión, fuera del tercio medio de la luz libre, pero a una distancia no mayor de 5 % de la luz libre; </t>
    </r>
    <r>
      <rPr>
        <b/>
        <sz val="8"/>
        <rFont val="Arial"/>
        <family val="2"/>
      </rPr>
      <t># 7,3</t>
    </r>
    <r>
      <rPr>
        <sz val="8"/>
        <rFont val="Arial"/>
        <family val="2"/>
      </rPr>
      <t xml:space="preserve"> la fractura ocurre en la superficie de tensión y fuera del tercio medio de la luz libre en más del 5 % de ésta.</t>
    </r>
  </si>
  <si>
    <t>SYP-PT-DT-F016</t>
  </si>
  <si>
    <t xml:space="preserve">PROYECTO: </t>
  </si>
  <si>
    <t xml:space="preserve">CÓDIGO CLIENTE: </t>
  </si>
  <si>
    <t>EQUIPOS:</t>
  </si>
  <si>
    <t>PRENSA Nº</t>
  </si>
  <si>
    <t>FLEXOMETRO Nº</t>
  </si>
  <si>
    <t>CRONÓMETRO N°</t>
  </si>
  <si>
    <t>BALANZA N°</t>
  </si>
  <si>
    <t>CALIBRADOR PIE DE REY No.</t>
  </si>
  <si>
    <t>TERMOMETRO N°</t>
  </si>
  <si>
    <t xml:space="preserve">muestras elaboradas por el cliente:  SI ______   NO_______ </t>
  </si>
  <si>
    <t>Especificaciones según INVE 410-13:</t>
  </si>
  <si>
    <t>ESPECIMENES Numeral 6.1 Los especimenes no deben se ensayados si cualquier diametro individual de un cilindro difiere de cualquier otro diametro del mismo en mas del 2%.</t>
  </si>
  <si>
    <t>5.1 Los especímenes no se deben ensayar si cualquier diámetro de un cilindro difiere, en más de 2 %, de otro diámetro del mismo cilindro</t>
  </si>
  <si>
    <t>5,2 Ninguna de las bases de los especímenes de ensayo se debe separar de la perpendicularidad respecto del eje del espécimen en más de 0.5° (equivalentes a 3 mm en 300 mm aproximadamente). Los extremos de un espécimen que no sea plano dentro de 0.05 mm, deben ser aserrados o esmerilados, o refrentados. El diámetro usado para calcular la sección transversal del espécimen se debe determinar con una precisión de 0.25 mm, promediando dos diámetros medidos en ángulo recto, uno con respecto al otro, en la mitad del espécimen</t>
  </si>
  <si>
    <t>ESPECIMENES Numeral 6.2 Previo al ensayo, ningun extremo de los especimenes de ensayo debe aparterse perpendicularidad a los ejes en mas de 0,5 °, aproximadamente equivalente a 1 mm en 100 mm. Los extremos de los especimenes de ensayo de compresion que no sean planos en mas de 0,020 mm deben ser aserrados o alineados. El diametro usado para calcular la seccion tranversal del especimen de ensayo deb se determinado al mas cercano 0,25 mm promediando dos diametros medidos en angulos rectos uno del otro alrededor de la altura media del especimen.</t>
  </si>
  <si>
    <t>Cilindro No.</t>
  </si>
  <si>
    <r>
      <t>Resist. Nominal (Kgf/cm</t>
    </r>
    <r>
      <rPr>
        <vertAlign val="superscript"/>
        <sz val="8"/>
        <rFont val="Arial"/>
        <family val="2"/>
      </rPr>
      <t>2</t>
    </r>
    <r>
      <rPr>
        <sz val="8"/>
        <rFont val="Arial"/>
        <family val="2"/>
      </rPr>
      <t>)</t>
    </r>
  </si>
  <si>
    <t>Fecha de</t>
  </si>
  <si>
    <t>Edad (días)</t>
  </si>
  <si>
    <t>Diámetros</t>
  </si>
  <si>
    <t>Cumple # 6,1 (NTC)/  # 5,1 (INVIAS) (Si/No)</t>
  </si>
  <si>
    <t xml:space="preserve">Alturas </t>
  </si>
  <si>
    <t>Cumple # 6,2 (NTC)/  # 5,2 (INVIAS) (Si/No)</t>
  </si>
  <si>
    <t>Masa
(kg)</t>
  </si>
  <si>
    <t>Carga Máxima     (kN)___  (kgf)___</t>
  </si>
  <si>
    <t>T
(s)</t>
  </si>
  <si>
    <t>Tipo de Falla</t>
  </si>
  <si>
    <t>Toma</t>
  </si>
  <si>
    <t>Rotura</t>
  </si>
  <si>
    <t>AA</t>
  </si>
  <si>
    <t>MM</t>
  </si>
  <si>
    <t>DD</t>
  </si>
  <si>
    <t>(cm)</t>
  </si>
  <si>
    <t xml:space="preserve">D </t>
  </si>
  <si>
    <t>N</t>
  </si>
  <si>
    <t>P</t>
  </si>
  <si>
    <t>F</t>
  </si>
  <si>
    <t>E</t>
  </si>
  <si>
    <t>C</t>
  </si>
  <si>
    <t>A</t>
  </si>
  <si>
    <t xml:space="preserve">DEFECTOS: </t>
  </si>
  <si>
    <r>
      <t>D: d</t>
    </r>
    <r>
      <rPr>
        <sz val="10"/>
        <rFont val="Arial"/>
        <family val="2"/>
      </rPr>
      <t>esportillado</t>
    </r>
    <r>
      <rPr>
        <b/>
        <sz val="10"/>
        <rFont val="Arial"/>
        <family val="2"/>
      </rPr>
      <t xml:space="preserve">    N: d</t>
    </r>
    <r>
      <rPr>
        <sz val="10"/>
        <rFont val="Arial"/>
        <family val="2"/>
      </rPr>
      <t>esnivelado</t>
    </r>
    <r>
      <rPr>
        <b/>
        <sz val="10"/>
        <rFont val="Arial"/>
        <family val="2"/>
      </rPr>
      <t xml:space="preserve">    P: p</t>
    </r>
    <r>
      <rPr>
        <sz val="10"/>
        <rFont val="Arial"/>
        <family val="2"/>
      </rPr>
      <t>oroso</t>
    </r>
    <r>
      <rPr>
        <b/>
        <sz val="10"/>
        <rFont val="Arial"/>
        <family val="2"/>
      </rPr>
      <t xml:space="preserve">    F: f</t>
    </r>
    <r>
      <rPr>
        <sz val="10"/>
        <rFont val="Arial"/>
        <family val="2"/>
      </rPr>
      <t>racturado</t>
    </r>
    <r>
      <rPr>
        <b/>
        <sz val="10"/>
        <rFont val="Arial"/>
        <family val="2"/>
      </rPr>
      <t xml:space="preserve">    E: e</t>
    </r>
    <r>
      <rPr>
        <sz val="10"/>
        <rFont val="Arial"/>
        <family val="2"/>
      </rPr>
      <t>scasez de agregado</t>
    </r>
    <r>
      <rPr>
        <b/>
        <sz val="10"/>
        <rFont val="Arial"/>
        <family val="2"/>
      </rPr>
      <t xml:space="preserve">     C: c</t>
    </r>
    <r>
      <rPr>
        <sz val="10"/>
        <rFont val="Arial"/>
        <family val="2"/>
      </rPr>
      <t>ontaminado</t>
    </r>
    <r>
      <rPr>
        <b/>
        <sz val="10"/>
        <rFont val="Arial"/>
        <family val="2"/>
      </rPr>
      <t xml:space="preserve">      A: f</t>
    </r>
    <r>
      <rPr>
        <sz val="10"/>
        <rFont val="Arial"/>
        <family val="2"/>
      </rPr>
      <t>alta de adherencia</t>
    </r>
  </si>
  <si>
    <t>GRADIENTE PARA CONTROL DE VELOCIDAD DE ENSAYO EN LA MÁQUINA:</t>
  </si>
  <si>
    <t>Fecha RM:</t>
  </si>
  <si>
    <t>Ensayo realizado por:</t>
  </si>
  <si>
    <t xml:space="preserve">Revisado por: </t>
  </si>
  <si>
    <t>Aprobado por:</t>
  </si>
  <si>
    <t>Director técnico</t>
  </si>
  <si>
    <t>Ancho (mm)</t>
  </si>
  <si>
    <t>Alto (mm)</t>
  </si>
  <si>
    <t xml:space="preserve">  RESISTENCIA A LA FLEXIÓN DEL CONCRETO USANDO UNA VIGA SIMPLE APOYADA Y CARGADA EN LOS TERCIOS DE LA LUZ LIBRE
INV E 414:2013                  NTC  2871:2005</t>
  </si>
  <si>
    <r>
      <t>MR  NOMINAL  kgf/cm</t>
    </r>
    <r>
      <rPr>
        <b/>
        <vertAlign val="superscript"/>
        <sz val="8.5"/>
        <rFont val="Arial"/>
        <family val="2"/>
      </rPr>
      <t>2</t>
    </r>
  </si>
  <si>
    <t>¿Se recibió muestra? SI/NO</t>
  </si>
  <si>
    <t>Fecha revisión muestra:</t>
  </si>
  <si>
    <t>SYP-PT-DT-F022</t>
  </si>
  <si>
    <t>Cumplimiento tiempo de secado según la norma: Conforme:                  No Conforme:</t>
  </si>
  <si>
    <r>
      <t xml:space="preserve">EQUIPOS:     </t>
    </r>
    <r>
      <rPr>
        <sz val="10"/>
        <rFont val="Arial"/>
        <family val="2"/>
      </rPr>
      <t>CALIBRADOR Nº</t>
    </r>
    <r>
      <rPr>
        <b/>
        <sz val="10"/>
        <rFont val="Arial"/>
        <family val="2"/>
      </rPr>
      <t xml:space="preserve">                    </t>
    </r>
    <r>
      <rPr>
        <sz val="10"/>
        <rFont val="Arial"/>
        <family val="2"/>
      </rPr>
      <t xml:space="preserve">   BALANZA Nº                             PRENSA Nº              </t>
    </r>
  </si>
  <si>
    <t>Núcleo Nº</t>
  </si>
  <si>
    <t>Fecha de extracción</t>
  </si>
  <si>
    <t>fecha de ensayo</t>
  </si>
  <si>
    <t>Diámetro (cm)</t>
  </si>
  <si>
    <t>Longitud (cm)</t>
  </si>
  <si>
    <t>Masa        (g)</t>
  </si>
  <si>
    <t>L capín       (cm)</t>
  </si>
  <si>
    <t>Carga máxima (kgf)</t>
  </si>
  <si>
    <t>Sentido de la carga</t>
  </si>
  <si>
    <t>TMN (cm)</t>
  </si>
  <si>
    <t>SENTIDO DE APLICACIÓN DE CARGA RESPECTO A LA EXTRACCIÓN EN EL SITIO</t>
  </si>
  <si>
    <t>V:</t>
  </si>
  <si>
    <t xml:space="preserve">Vertical </t>
  </si>
  <si>
    <t>H:</t>
  </si>
  <si>
    <t>Horizontal</t>
  </si>
  <si>
    <t>TMN:</t>
  </si>
  <si>
    <t>Tamaño máximo nominal del agregado</t>
  </si>
  <si>
    <t xml:space="preserve">MÉTODO PARA LA OBTENCIÓN Y ENSAYO DE NÚCLEOS EXTRAÍDOS DE CONCRETO (RESISTENCIA A LA COMPRESIÓN DE NÚCLEOS DE CONCRETO) NTC 3658 - NTC  673 </t>
  </si>
  <si>
    <t>Muestra entregada por:</t>
  </si>
  <si>
    <t>Empresa operadora:</t>
  </si>
  <si>
    <t>Fecha / hora:</t>
  </si>
  <si>
    <t>Programa revisado por: coordinador de laboratorio</t>
  </si>
  <si>
    <r>
      <rPr>
        <b/>
        <sz val="16"/>
        <rFont val="Arial"/>
        <family val="2"/>
      </rPr>
      <t>PROGRAMA DE LABORATORIO</t>
    </r>
    <r>
      <rPr>
        <b/>
        <sz val="12"/>
        <rFont val="Arial"/>
        <family val="2"/>
      </rPr>
      <t xml:space="preserve">
ANEXO - ORDEN DE TRABAJO</t>
    </r>
  </si>
  <si>
    <t>Cantidad de material sobrante (kg, g, etc)</t>
  </si>
  <si>
    <t>ENSAYO DE RESISTENCIA A LA COMPRESIÓN DE ESPECÍMENES CILINDRICOS DE CONCRETO
NTC 673          INV E 410-2013</t>
  </si>
  <si>
    <t>Especificaciones según NTC 673:</t>
  </si>
  <si>
    <t>OBSERVACIONES</t>
  </si>
  <si>
    <r>
      <rPr>
        <b/>
        <sz val="10"/>
        <rFont val="Arial"/>
        <family val="2"/>
      </rPr>
      <t>Instrucciones para diligenciar el formulario</t>
    </r>
    <r>
      <rPr>
        <sz val="10"/>
        <rFont val="Arial"/>
        <family val="2"/>
      </rPr>
      <t xml:space="preserve">
1. </t>
    </r>
    <r>
      <rPr>
        <b/>
        <sz val="10"/>
        <rFont val="Arial"/>
        <family val="2"/>
      </rPr>
      <t>Asesor comercial de SYP</t>
    </r>
    <r>
      <rPr>
        <sz val="10"/>
        <rFont val="Arial"/>
        <family val="2"/>
      </rPr>
      <t>: seleccione en la</t>
    </r>
    <r>
      <rPr>
        <b/>
        <sz val="10"/>
        <rFont val="Arial"/>
        <family val="2"/>
      </rPr>
      <t xml:space="preserve"> fila 10</t>
    </r>
    <r>
      <rPr>
        <sz val="10"/>
        <rFont val="Arial"/>
        <family val="2"/>
      </rPr>
      <t xml:space="preserve"> los ensayos que el cliente autorizó según la cotización de servicios. 
2. </t>
    </r>
    <r>
      <rPr>
        <b/>
        <sz val="10"/>
        <rFont val="Arial"/>
        <family val="2"/>
      </rPr>
      <t>Estimado cliente</t>
    </r>
    <r>
      <rPr>
        <sz val="10"/>
        <rFont val="Arial"/>
        <family val="2"/>
      </rPr>
      <t xml:space="preserve">: seleccione con una </t>
    </r>
    <r>
      <rPr>
        <b/>
        <sz val="10"/>
        <rFont val="Arial"/>
        <family val="2"/>
      </rPr>
      <t>X</t>
    </r>
    <r>
      <rPr>
        <sz val="10"/>
        <rFont val="Arial"/>
        <family val="2"/>
      </rPr>
      <t xml:space="preserve"> la norma técnica del ensayo y diligencie para cada muestra los campos (</t>
    </r>
    <r>
      <rPr>
        <b/>
        <sz val="10"/>
        <rFont val="Arial"/>
        <family val="2"/>
      </rPr>
      <t>cuando aplique</t>
    </r>
    <r>
      <rPr>
        <sz val="10"/>
        <rFont val="Arial"/>
        <family val="2"/>
      </rPr>
      <t>): ID de muestra, sondeo, ubicación /abscisa, tipo de muestra y profundidad.  Si no aplica escribir</t>
    </r>
    <r>
      <rPr>
        <b/>
        <sz val="10"/>
        <rFont val="Arial"/>
        <family val="2"/>
      </rPr>
      <t xml:space="preserve"> N/A</t>
    </r>
  </si>
  <si>
    <r>
      <rPr>
        <b/>
        <sz val="9"/>
        <rFont val="Arial"/>
        <family val="2"/>
      </rPr>
      <t xml:space="preserve">CONDICIONES AMBIENTALES:    </t>
    </r>
    <r>
      <rPr>
        <sz val="9"/>
        <rFont val="Arial"/>
        <family val="2"/>
      </rPr>
      <t xml:space="preserve">         TEMPERATURA POCETA (ºC)                               </t>
    </r>
  </si>
  <si>
    <t>OBSERVACIONES MUESTRAS:</t>
  </si>
  <si>
    <t>GALGAS No.:</t>
  </si>
  <si>
    <t>CALIBRADOR EXTERIOR(Compás de punta) No.</t>
  </si>
  <si>
    <r>
      <rPr>
        <b/>
        <sz val="11"/>
        <rFont val="Arial"/>
        <family val="2"/>
      </rPr>
      <t xml:space="preserve">Condiciones ambientales:    </t>
    </r>
    <r>
      <rPr>
        <sz val="11"/>
        <rFont val="Arial"/>
        <family val="2"/>
      </rPr>
      <t xml:space="preserve">                 Temperatura del agua (ºC) :</t>
    </r>
  </si>
  <si>
    <t xml:space="preserve">muestras transportadas por el cliente:  SI_____  NO______                                                                                                                                                                                                                                                                                                                                                                                                                                 </t>
  </si>
  <si>
    <t xml:space="preserve">CONDICIONES AMBIENTALES:                              CONDICIÓN SECA:     Temperatura °C:                               Humedad relativa %:          </t>
  </si>
  <si>
    <t>CONDICIÓN HÚMEDAD:   Temperatura °C:               Tiempo de inmersión:               Inmersión inicial (fecha y hora):               inmersión  final (fecha y hora):</t>
  </si>
  <si>
    <t>NTC 1495:2013</t>
  </si>
  <si>
    <t>NTC 4630: 1999</t>
  </si>
  <si>
    <t>Factores de contracción de suelos por medio del método de mercurio</t>
  </si>
  <si>
    <t>NTC 1503:2001</t>
  </si>
  <si>
    <t>NTC 1527:2000</t>
  </si>
  <si>
    <t>Determinación del peso unitario de muestras irregulares (método parafinado) y muestras regulares</t>
  </si>
  <si>
    <t>Determinación de la gravedad específica de las partículas sólidas de los suelos y del llenante mineral, empleando un picnómetro con agua</t>
  </si>
  <si>
    <t>INV E-128:2013</t>
  </si>
  <si>
    <t>NTC 1522:1999</t>
  </si>
  <si>
    <t>NTC 78:2019</t>
  </si>
  <si>
    <t>INV E-123:2013</t>
  </si>
  <si>
    <t>*** Resistencia con penetrómetro o Veleta de laboratorio</t>
  </si>
  <si>
    <t>NTC 1967:2000</t>
  </si>
  <si>
    <t>Medida del potencial de colapso de un suelo parcialmente saturado</t>
  </si>
  <si>
    <t>INV E-157:2013</t>
  </si>
  <si>
    <t>***Determinación del coeficiente de permeabilidad mediante un método de cabeza constante para el flujo laminar de agua a través de suelos granulares.</t>
  </si>
  <si>
    <t>INV E-130:2013</t>
  </si>
  <si>
    <t>*** Determinación de permeabilidad suelo cohesivo (cámara triaxial)</t>
  </si>
  <si>
    <t>*** Dispersividad (Pin Hole Test)</t>
  </si>
  <si>
    <t>Determinación del potencial de cambio volumétrico de un suelo empleando el aparato de Lambe</t>
  </si>
  <si>
    <t>INV E-120:2013</t>
  </si>
  <si>
    <t>INV E-132:2013</t>
  </si>
  <si>
    <t>NTC 2122:2013</t>
  </si>
  <si>
    <t>*** Relación de soporte del suelo en laboratorio, suelos cohesivos (CBR método II) requiere PROCTOR</t>
  </si>
  <si>
    <t>*** Determinación del contenido de materia orgánica (calcinación)</t>
  </si>
  <si>
    <t>INV E-121:2013</t>
  </si>
  <si>
    <t>NTC 1917:2000</t>
  </si>
  <si>
    <t>INV E-142:2013</t>
  </si>
  <si>
    <t>INV E-141:2013</t>
  </si>
  <si>
    <t>*** Compactación Harvard miniatura</t>
  </si>
  <si>
    <t>NTC 1667:2002</t>
  </si>
  <si>
    <t>*** Preparación de muestras para compresión y/o corte a partir de bloques</t>
  </si>
  <si>
    <t>*** pH de los suelos</t>
  </si>
  <si>
    <t>INV E-131:2013</t>
  </si>
  <si>
    <t>INV E-153:2013</t>
  </si>
  <si>
    <t>*** Compresión triaxial estática, consolidado - drenado -CD - (valor para tres (3) probetas)</t>
  </si>
  <si>
    <t>INV E 613:2013</t>
  </si>
  <si>
    <t>*** Resistencia a la compresión de cilindros moldeados de suelo - cemento (valor para 4 probetas)</t>
  </si>
  <si>
    <t>*** Diseño de suelo cemento por resistencia (con tres porcentajes de cemento)</t>
  </si>
  <si>
    <t>*** Compactación de probeta suelo cemento en obra (valor para mínimo 4) no incluye transporte</t>
  </si>
  <si>
    <t>*** Resistividad eléctrica del suelo (en campo)</t>
  </si>
  <si>
    <t>*** Resistividad eléctrica del suelo (en laboratorio)</t>
  </si>
  <si>
    <t>MÉTODO ISRM-
2007. Capítulo 4,
Pgs. 83, 86 y 87 de
la Traducción Oficial
ASTM D 7263:2021</t>
  </si>
  <si>
    <t>ASTM D-5084:2010</t>
  </si>
  <si>
    <t>ASTM D4647/
D4647M:2013</t>
  </si>
  <si>
    <t>INV E 148:2013</t>
  </si>
  <si>
    <t>ASTM D 7181:2011</t>
  </si>
  <si>
    <t>ASTM D-3999:1991</t>
  </si>
  <si>
    <t xml:space="preserve">*** Compactación de una probeta de suelo cemento </t>
  </si>
  <si>
    <t>INV E 614:2013</t>
  </si>
  <si>
    <t>INV E 613:2013
INV E 614:2013</t>
  </si>
  <si>
    <t xml:space="preserve">*** Diseño de suelo cemento (por durabilidad) </t>
  </si>
  <si>
    <t>INV E 613:2013
INV E 612:2013</t>
  </si>
  <si>
    <t>Índices de aplanamiento y de alargamiento de los agregados para carreteras - REQUIERE GRADACIÓN</t>
  </si>
  <si>
    <t>INV E-230:2013</t>
  </si>
  <si>
    <t>INV E-240:2013</t>
  </si>
  <si>
    <t>Equivalente de arena de suelos y agregados finos</t>
  </si>
  <si>
    <t>INV E-133:2013</t>
  </si>
  <si>
    <t>Densidad, densidad relativa (gravedad específica) y absorción del agregado fino</t>
  </si>
  <si>
    <t>INV E-222:2013</t>
  </si>
  <si>
    <t>Densidad, densidad relativa (gravedad específica) y absorción del agregado grueso</t>
  </si>
  <si>
    <t>INV E-223:2013</t>
  </si>
  <si>
    <t>INV E-227:2013</t>
  </si>
  <si>
    <t>INV E 212:2013
(Método vidrios de colores de referencia)</t>
  </si>
  <si>
    <t xml:space="preserve"> INV E 220:2013 </t>
  </si>
  <si>
    <t>UNE-EN 933 - 9:2010+A1, junio 2013</t>
  </si>
  <si>
    <t>*** Determinación del valor de azul de metileno</t>
  </si>
  <si>
    <t>INV E 235:2013</t>
  </si>
  <si>
    <t>INV E-224:2013</t>
  </si>
  <si>
    <t>Determinación de la resistencia del agregado grueso a la degradación por abrasión, utilizando el aparato Micro-Deval</t>
  </si>
  <si>
    <t>INV E-238:2013</t>
  </si>
  <si>
    <t>*** Determinación de terrones de arcilla y partículas deleznables en los agregados. REQUIERE GRADACIÓN</t>
  </si>
  <si>
    <t>INV E-211:2013</t>
  </si>
  <si>
    <t>Análisis granulométrico de los agregados grueso y fino</t>
  </si>
  <si>
    <t xml:space="preserve">Determinación del contenido de vacíos en agregados finos no compactados (influenciado por forma de las partículas, la textura superficial y la granulometría) (angularidad de finos) método A o C                    </t>
  </si>
  <si>
    <t>INV E 239:2013</t>
  </si>
  <si>
    <t xml:space="preserve">Determinación del contenido de vacíos en agregados finos no compactados (influenciado por forma de las partículas, la textura superficial y la granulometría) (angularidad de finos) método B                   </t>
  </si>
  <si>
    <t>INV-237:2013</t>
  </si>
  <si>
    <t>A018A</t>
  </si>
  <si>
    <t>Cantidad de partículas livianas en un agregado pétreo</t>
  </si>
  <si>
    <t>INV E 221:2013</t>
  </si>
  <si>
    <t>*** Cambio volumétrico</t>
  </si>
  <si>
    <t>*** Acompañamiento técnico para toma de muestras (2 horas)</t>
  </si>
  <si>
    <t>*** Trituración de muestras (según cantidad)</t>
  </si>
  <si>
    <t>INV E 232:2013</t>
  </si>
  <si>
    <t>*** Concentración crítica del llenante mineral</t>
  </si>
  <si>
    <t>INV-745:2013</t>
  </si>
  <si>
    <t>ASTM D 7012:14 e1</t>
  </si>
  <si>
    <t>ASTM D 7012:14 e1
 Método C</t>
  </si>
  <si>
    <t>Determinación de la resistencia a la carga puntual de las rocas</t>
  </si>
  <si>
    <t>Método ISRM : 2007.
Capítulo 8. Pgs. 164
a 177, de la
Traducción Oficial.</t>
  </si>
  <si>
    <t>*** Rotura de granos (tres granos)</t>
  </si>
  <si>
    <t>Gravedad específica y absorción de las rocas</t>
  </si>
  <si>
    <t>Método ISRM :2007.
Capítulo 4. Pgs. 91
y 92, Numeral 1.2.2
de la Traducción
Oficial.</t>
  </si>
  <si>
    <t>INV E 236:2013</t>
  </si>
  <si>
    <t>*** Preparación de muestras para corte directo y/o compresión</t>
  </si>
  <si>
    <t>MÉTODO ISRM:2007. 
Capítulo 4, Pgs. 83,
86 y 87 de la 
Traducción Oficial ASTM D 7263:2021</t>
  </si>
  <si>
    <t>*** Bloque deslizante</t>
  </si>
  <si>
    <t>Determinación de velocidades de ultrasonido en rocas</t>
  </si>
  <si>
    <t>Procedimiento
para determinar la
velocidad
ultrasonido en
rocas, Fuente:
ASTM D 2845-2008
(Retirado: 2017)</t>
  </si>
  <si>
    <t>Método ISRM :2007.
Capítulo 14. Parte
III. Pgs. 254 a 263,
de la Traducción
Oficial.</t>
  </si>
  <si>
    <t>*** Corte directo en roca bajo fuerza normal constante. Muestra intacta. (incluye preparación de muestras)</t>
  </si>
  <si>
    <t>ASTM D 5607:2008</t>
  </si>
  <si>
    <t>*** Porosidad en rocas</t>
  </si>
  <si>
    <t xml:space="preserve">Método ISRM:2007. </t>
  </si>
  <si>
    <t>*** Índice de dureza con martillo Schmidt</t>
  </si>
  <si>
    <t>MÉTODO  ISRM:2007</t>
  </si>
  <si>
    <t>*** Ensayo de abrasividad "Cerchar"</t>
  </si>
  <si>
    <t>ASTM D 7625:2010</t>
  </si>
  <si>
    <t>*** Índice de rugosidad JRC</t>
  </si>
  <si>
    <t>Extracción cuantitativa del asfalto en mezclas para pavimentos</t>
  </si>
  <si>
    <t xml:space="preserve">INV E 732: 2013 - Método  A </t>
  </si>
  <si>
    <t>INV E 782:2013</t>
  </si>
  <si>
    <t>INV E 733:2013</t>
  </si>
  <si>
    <t>INV E-734:2013</t>
  </si>
  <si>
    <t>INV E 748:2013</t>
  </si>
  <si>
    <t>*** Adherencia en bandeja</t>
  </si>
  <si>
    <t>INV E-740:2013</t>
  </si>
  <si>
    <t>***Adhesividad de los ligantes bituminosos a los agregados finos (método RIEDEL-WEBER)</t>
  </si>
  <si>
    <t>INV E-774:2013</t>
  </si>
  <si>
    <t>INV E 795:2013</t>
  </si>
  <si>
    <t>INV E 725:2013</t>
  </si>
  <si>
    <t>INV E 735:2013</t>
  </si>
  <si>
    <t>*** Extracción de una panela asfáltica, con cortadora de disco.</t>
  </si>
  <si>
    <t>INV E-168:2013</t>
  </si>
  <si>
    <t>INV E-738:2013</t>
  </si>
  <si>
    <t>INV E 712-13</t>
  </si>
  <si>
    <t>INV E 714-13</t>
  </si>
  <si>
    <t>*** Penetración de asfalto</t>
  </si>
  <si>
    <t>INV E 706-13</t>
  </si>
  <si>
    <t>*** Resane de pavimento (concreto hidráulico) cada uno</t>
  </si>
  <si>
    <t>*** Medición de espesores</t>
  </si>
  <si>
    <t>INV E 744-13</t>
  </si>
  <si>
    <t>INV E 622:13</t>
  </si>
  <si>
    <t>P021</t>
  </si>
  <si>
    <t>*** Medida de la macrotextura superficial de un pavimento empleando la técnica volumétrica (círculo de arena)</t>
  </si>
  <si>
    <t>INV E-791-13</t>
  </si>
  <si>
    <t>*** Resistencia adicional para un diseño de concreto (2 agregados)</t>
  </si>
  <si>
    <t>Resistencia a la compresión de cilindros de concreto</t>
  </si>
  <si>
    <t>Resistencia a la flexión del concreto usando una viga simplemente apoyada y cargada en los tercios de la luz libre</t>
  </si>
  <si>
    <t>NTC 3658:1994</t>
  </si>
  <si>
    <t>*** Relleno huecos extracción núcleos</t>
  </si>
  <si>
    <t>*** Pruebas detección de hierro</t>
  </si>
  <si>
    <t>INV E-411:2013</t>
  </si>
  <si>
    <t>***Resistencia a la compresión en núcleos de concreto</t>
  </si>
  <si>
    <t>NTC 4025:2006</t>
  </si>
  <si>
    <t>Procedimiento para determinar la velocidad ultrasonido en rocas, Fuente:
ASTM D 2845-2008
(Retirado: 2017)</t>
  </si>
  <si>
    <t>NTC 396:1992</t>
  </si>
  <si>
    <t>NTC 550:2000</t>
  </si>
  <si>
    <t>*** Diseño de mortero para una resistencia dada - (incluye solo ensayos de caracterización básica)</t>
  </si>
  <si>
    <t>*** Compresión en cubos de mortero (elaboración serie de 9)</t>
  </si>
  <si>
    <t xml:space="preserve">*** Resistencia a la compresión de cubos de mortero </t>
  </si>
  <si>
    <t>*** Resistencia a la compresión de prismas de concreto</t>
  </si>
  <si>
    <t>NTC 3495:2003</t>
  </si>
  <si>
    <t>*** Resistencia a la compresión en muretes sencillos</t>
  </si>
  <si>
    <t xml:space="preserve">*** Resistencia a la compresión de muretes dobles </t>
  </si>
  <si>
    <t xml:space="preserve">*** Resistencia a la compresión de muretes triples </t>
  </si>
  <si>
    <t>NTC 4024:2001 
Numerales 6 y 8</t>
  </si>
  <si>
    <t>NTC 2017:2018</t>
  </si>
  <si>
    <t>*** Compresión de adoquines de concreto (valor para fallar 5 unidades)</t>
  </si>
  <si>
    <t>*** Absorción en frío de adoquines y bloques de concreto (valor para fallar 5 unidades)</t>
  </si>
  <si>
    <t>*** Dimensionamiento en bloques (cada unidad)</t>
  </si>
  <si>
    <t>NTC 4017:2018
Numerales 6 y 7</t>
  </si>
  <si>
    <t xml:space="preserve">*** Eflorescencia en piezas de mampostería de arcilla </t>
  </si>
  <si>
    <t>NTC 4017:2018</t>
  </si>
  <si>
    <t>NTC 4017:2018
Numeral 10</t>
  </si>
  <si>
    <t>NTC 2086:1996</t>
  </si>
  <si>
    <t>*** Flexión en baldosa con elaboración de probeta - (por unidad)</t>
  </si>
  <si>
    <t xml:space="preserve">*** Absorción de baldosa en agua </t>
  </si>
  <si>
    <t xml:space="preserve">*** Absorción en losetas en agua </t>
  </si>
  <si>
    <t>*** Medición de perfilería</t>
  </si>
  <si>
    <t>*** Resistencia a la flexión en sardineles y bordillos de concreto.</t>
  </si>
  <si>
    <t>NTC 4109:2008</t>
  </si>
  <si>
    <t>INV E 122:2013</t>
  </si>
  <si>
    <t xml:space="preserve">NTC 4630:1999 (Método A)
</t>
  </si>
  <si>
    <t>INV E 125:2013 (Método A)
INV E 126:2013</t>
  </si>
  <si>
    <t>INV E 152:2013</t>
  </si>
  <si>
    <t>INV E 214:2013</t>
  </si>
  <si>
    <t>***NTC 77:2018</t>
  </si>
  <si>
    <t>INV E-213:2013</t>
  </si>
  <si>
    <t>*** NTC 673:2010</t>
  </si>
  <si>
    <t xml:space="preserve"> INV E-410:2013</t>
  </si>
  <si>
    <t xml:space="preserve"> INV E-414:2013
</t>
  </si>
  <si>
    <t>*** NTC 2871:2018</t>
  </si>
  <si>
    <t xml:space="preserve">INV E 413:2013
</t>
  </si>
  <si>
    <t>ASTM
C805/805M:18</t>
  </si>
  <si>
    <t>NTC 673:2010</t>
  </si>
  <si>
    <t>INV E 410:2013</t>
  </si>
  <si>
    <t>NTC 1085:1976</t>
  </si>
  <si>
    <t>NTC:4992:2004</t>
  </si>
  <si>
    <t>NTC 98-2019</t>
  </si>
  <si>
    <t>NTC 92:2019</t>
  </si>
  <si>
    <t>INV E-219 2013</t>
  </si>
  <si>
    <t>INV E-218 2013</t>
  </si>
  <si>
    <r>
      <rPr>
        <b/>
        <sz val="11"/>
        <rFont val="Arial"/>
        <family val="2"/>
      </rPr>
      <t>*** ensayos</t>
    </r>
    <r>
      <rPr>
        <sz val="11"/>
        <rFont val="Arial"/>
        <family val="2"/>
      </rPr>
      <t xml:space="preserve"> </t>
    </r>
    <r>
      <rPr>
        <b/>
        <sz val="11"/>
        <rFont val="Arial"/>
        <family val="2"/>
      </rPr>
      <t>NO</t>
    </r>
    <r>
      <rPr>
        <sz val="11"/>
        <rFont val="Arial"/>
        <family val="2"/>
      </rPr>
      <t xml:space="preserve"> </t>
    </r>
    <r>
      <rPr>
        <b/>
        <sz val="11"/>
        <rFont val="Arial"/>
        <family val="2"/>
      </rPr>
      <t>acreditados</t>
    </r>
  </si>
  <si>
    <t>PROFUNDIDAD (m)</t>
  </si>
  <si>
    <t xml:space="preserve">TIPO DE MUESTRA </t>
  </si>
  <si>
    <t>UBICACIÓN O ABSCISA</t>
  </si>
  <si>
    <t xml:space="preserve">SONDEO O APIQUE No. </t>
  </si>
  <si>
    <t>No. de muestra</t>
  </si>
  <si>
    <t>INV E 148-13</t>
  </si>
  <si>
    <t>Ensayo para determinar el contenido de humedad de suelos y rocas, con base en la masa</t>
  </si>
  <si>
    <t>Determinación del límite líquido, del límite plástico y del índice de plasticidad de los suelos cohesivos.</t>
  </si>
  <si>
    <t>Determinación de la resistencia a la compresión inconfinada de suelos cohesivos</t>
  </si>
  <si>
    <t>Método para medir el potencial de asentamiento o expansión unidimensional de suelos cohesivos. (Expansión controlada en consolidómetro (Método C))</t>
  </si>
  <si>
    <t>Método para medir el potencial de asentamiento o expansión unidimensional de suelos cohesivos (Expansión libre en consolidómetro (Método A))</t>
  </si>
  <si>
    <t>*** Toma de muestras para CBR Inalterado (no incluye apique, transporte) mínimo por dos tomas.</t>
  </si>
  <si>
    <t>*** Compresión triaxial cíclica - TC - (1 probeta) incluye saturación y consolidación.
corroborar el precio con el subcontratista.</t>
  </si>
  <si>
    <t>*** Densidad relativa (3 densidades mínimas) (3 densidades máximas)</t>
  </si>
  <si>
    <t>*** Calidad del suelo. Determinación del azufre disponible. corroborar el precio con el subcontratista.</t>
  </si>
  <si>
    <t>*** Contenido de cloruros solubles en agua que hay en el suelo.
corroborar el precio con el subcontratista.</t>
  </si>
  <si>
    <t>*** Contenido de sulfatos solubles en agua que hay en un suelo.
corroborar el precio con el subcontratista.</t>
  </si>
  <si>
    <t>*** Contenido de carbonato en los suelos.
corroborar el precio con el subcontratista.</t>
  </si>
  <si>
    <t>*** Contenido de nitratos en suelos.
corroborar el precio con el subcontratista.</t>
  </si>
  <si>
    <t>*** Determinación del nitrógeno amoniacal y nitrógeno nítrico.
corroborar el precio con el subcontratista.</t>
  </si>
  <si>
    <t>*** Determinación del contenido de sales solubles de un suelo.
corroborar el precio con el subcontratista.</t>
  </si>
  <si>
    <t>S059A</t>
  </si>
  <si>
    <t>*** Método de ensayo estándar para módulo y amortiguamiento de suelos por el método de columna resonante</t>
  </si>
  <si>
    <t>Método de ensayo para CBR (California Bearing Ratio) de suelos compactados en laboratorio (CBR Método I). --- incluye PROCTOR</t>
  </si>
  <si>
    <t>Determinación de corte directo de suelos bajo condiciones consolidadas y drenadas.--- en arcillas y/o arenas (tres puntos, tiempo de falla hasta 2 horas) - requiere esfuerzos de parte del cliente o autorización del cliente para que el laboratorio los asigne.</t>
  </si>
  <si>
    <t>Determinación de corte directo de suelos bajo condiciones consolidadas y drenadas. --- (tres puntos, tiempo de falla 5 horas) - requiere esfuerzos de parte del cliente o autorización del cliente para que el laboratorio los asigne</t>
  </si>
  <si>
    <t>Determinación de corte directo de suelos bajo condiciones consolidadas y drenadas. --- corte directo CD pico y residual (tiempo de falla 5 horas) - requiere esfuerzos de parte del cliente o, autorización del cliente para que el laboratorio los asigne</t>
  </si>
  <si>
    <t>Relaciones de humedad - peso unitario seco en los suelos, (ensayo modificado de compactación). --- (Proctor modificado) Método A</t>
  </si>
  <si>
    <t>Relaciones de humedad - peso unitario seco en los suelos, (ensayo modificado de compactación). --- (Proctor modificado + 2 gravedades específicas + gradación + 2 humedades) (mín. 80 kg de material representativo) métodos B y C.</t>
  </si>
  <si>
    <t>Relaciones de humedad - peso unitario seco en los suelos, (ensayo normal de compactación). --- (Proctor Estándar) Método A.</t>
  </si>
  <si>
    <t>Relaciones de humedad - peso unitario seco en los suelos, (ensayo normal de compactación). --- (Proctor estándar + 2 gravedades específicas + gradación + 2 humedades) (mín. 80 kg de material representativo) métodos B y C.</t>
  </si>
  <si>
    <t xml:space="preserve">Determinación de la densidad y el peso unitario en terreno. Método del Cono de Arena. --- (mínimo 5 ensayos por visita a campo), no Incluye PROCTOR y no incluye transporte. (Valor unitario). </t>
  </si>
  <si>
    <t>Ensayo de compresión triaxial sobre suelos cohesivos (Prueba no consolidada no drenada, UU). --- (Valor dado para una (1) Probeta)</t>
  </si>
  <si>
    <t xml:space="preserve">Ensayo de compresión triaxial sobre suelos cohesivos (Prueba consolidada no drenada, CU). --- Valor dado para tres (3) Probetas) con medición de presión de poros). </t>
  </si>
  <si>
    <t>***Proporción de partículas planas y alargadas en agregados gruesos. DEFINIR RELACIÓN Y REQUIERE GRADACIÓN (generalmente es relación 1:5)</t>
  </si>
  <si>
    <t>Determinación de la densidad volumétrica (masa unitaria) y vacíos en agregados</t>
  </si>
  <si>
    <t>Porcentaje de partículas fracturadas en un agregado grueso. 
--- (caras fracturadas)</t>
  </si>
  <si>
    <t>Presencia de impurezas orgánicas en arenas usadas para la preparación de morteros o concretos. --- (colorimetría)</t>
  </si>
  <si>
    <t>Determinación de la resistencia al desgaste por abrasión e impacto de agregados gruesos menor de 37,5 mm, utilizando la máquina de los Ángeles. --- sin trituración</t>
  </si>
  <si>
    <t>Determinación de la resistencia al desgaste por abrasión e impacto de agregados gruesos mayores de 19 mm, utilizando la máquina de los Ángeles. --- con trituración</t>
  </si>
  <si>
    <t>Solidez de los agregados frente a la acción de soluciones de sulfato de sodio o de magnesio. --- DEFINIR TIPO DE SOLUCIÓN Y REQUIERE GRADACIÓN.</t>
  </si>
  <si>
    <t>Determinación del valor de 10 % de finos. --- REQUIERE MÍNIMO 18 kg, PASA TAMIZ 1/2", RETIENE 3/8".</t>
  </si>
  <si>
    <t>Determinación de la resistencia al desgaste por abrasión e impacto de agregados gruesos mayores de  19 mm, utilizando la máquina de los Ángeles  --- (100, 500 Revoluciones en seco y saturado a 500 revoluciones) sin trituración</t>
  </si>
  <si>
    <t>Determinación de la resistencia al desgaste por abrasión e impacto de agregados gruesos menor de 37,5 mm, utilizando la máquina de los Ángeles. --- (100, 500 Revoluciones en seco y saturado a 500 revoluciones) con trituración</t>
  </si>
  <si>
    <t>*** Compresión simple o uniaxial en núcleo de roca (con deformímetros eléctricos (ver tabla 1 norma de referencia) método D. (incluye preparación de muestras)--- Con 2 deformímetros eléctricos por ensayo.</t>
  </si>
  <si>
    <t>*** Compresión simple o uniaxial en núcleo de roca método C, midiendo deformación axial con LVDT (transductor diferencial de variable lineal) (incluye preparación de muestras).</t>
  </si>
  <si>
    <t>*** Triaxial con módulos elásticos - celda Hoek (3 puntos), método B. (con deformímetros eléctricos ver tabla 1 norma de referencia) (incluye preparación de muestras). --- Con 6 deformímetros eléctricos por ensayo</t>
  </si>
  <si>
    <t>*** Compresión triaxial método A con medición de resistencia residual (1 punto). --- Con 2 deformímetros eléctricos por ensayo.</t>
  </si>
  <si>
    <t>Determinación del índice de desleimiento y durabilidad de lulitas y otras rocas débiles</t>
  </si>
  <si>
    <t>*** Velocidad de onda de compresión (Vp), velocidad de onda de corte (Vs) y cálculo de relación de Poisson (n)</t>
  </si>
  <si>
    <t xml:space="preserve">*** Extracción de núcleos de roca Ø 2" a partir de un (1) bloque </t>
  </si>
  <si>
    <t>Ensayo para determinar el contenido de humedad en rocas</t>
  </si>
  <si>
    <t>R021</t>
  </si>
  <si>
    <t>*** Determinación de las características dispersivas en suelos arcillosos mediante la prueba de la miga (crumb test)</t>
  </si>
  <si>
    <t xml:space="preserve">Determinación de la resistencia a la compresión de rocas. 
--- (sin medir deformación axial) (incluye preparación de muestras) </t>
  </si>
  <si>
    <t>Determinación de la resistencia a la tracción de muestras de núcleo de roca intactas. --- Incluye corte de especímenes.</t>
  </si>
  <si>
    <t>Determinación de la resistencia al corte de las rocas. --- Por diaclasa o plano de discontinuidad (incluye preparación de muestras)</t>
  </si>
  <si>
    <t>***Elaboración y compactación de probetas (valor para 4 briquetas) para estabilidad Marshall.</t>
  </si>
  <si>
    <t>*** Diseño de estabilidad Marshall (incluye los siguientes ensayos para dos agregados: Un equivalente de arena, un desgaste, tres gradaciones de agregados, 18 compactaciones de probetas, 18 estabilidad y flujo, una gravedad específica de finos y una de gruesos, seis RICE)</t>
  </si>
  <si>
    <t>*** Extracción de un (1) núcleo de pavimento asfáltico de diámetro = 4 pulgadas.</t>
  </si>
  <si>
    <t xml:space="preserve">*** Evaluación a la susceptibilidad al agua de las mezclas asfálticas   utilizando la prueba de tracción Indirecta. (6 briquetas, compactación, curado y falla).                              </t>
  </si>
  <si>
    <t xml:space="preserve">*** Efecto del agua sobre la resistencia a la compresión de las mezclas asfálticas compactadas. (Inmersión y Compresión) (6 briquetas, compactación, curado y falla) INCLUYE RICE  </t>
  </si>
  <si>
    <t>*** Viscosidad Saybolt furol</t>
  </si>
  <si>
    <t>Análisis granulométrico de los agregados extraídos de mezclas asfálticas. --- requiere extracción</t>
  </si>
  <si>
    <t>Gravedad específica Bulk y densidad de mezclas asfálticas compactadas no absorbentes empleando especímenes saturados y superficialmente secos. --- (valor para núcleos o briquetas)</t>
  </si>
  <si>
    <t>Estabilidad y flujo de mezclas asfálticas en caliente empleando el equipo de Marshall. --- (valor para 4 briquetas) Incluye: gravedad específica Bulk, densidad.</t>
  </si>
  <si>
    <t xml:space="preserve">Gravedad específica máxima de mezclas asfálticas para pavimentos. --- (RICE).       </t>
  </si>
  <si>
    <t>*** Diseño de concreto para una resistencia dada (2 agregados) (Incluye pruebas básicas para agregado fino de: gradación, equivalente, humedad, materia orgánica por colorimetría, masa unitaria suelta y apisonada, gravedad específica de finos) (para agregado grueso: gradación, desgaste, humedad, masa unitaria suelta y apisonada y gravedad específica de grueso)</t>
  </si>
  <si>
    <t>*** Obtención y ensayo de núcleos de concreto endurecido 2" de diámetro.</t>
  </si>
  <si>
    <t>*** Obtención y ensayo de núcleos de concreto endurecido 3" de diámetro.</t>
  </si>
  <si>
    <t>*** Obtención y ensayo de núcleos de concreto endurecido 4" de diámetro.</t>
  </si>
  <si>
    <t>Determinación del número de rebote (índice esclerométrico) en el concreto endurecido. --- (15 lecturas) (ejecución mínima 2 ensayos por salida a campo)</t>
  </si>
  <si>
    <t>*** Tracción indirecta de elementos de concreto</t>
  </si>
  <si>
    <t>*** Módulo de elasticidad estático y relación de Poisson del concreto en compresión. --- Con 2 deformímetros eléctricos por ensayo.</t>
  </si>
  <si>
    <t>*** Método de ensayo para la determinación de la velocidad de pulso ultrasónico a través del concreto.</t>
  </si>
  <si>
    <t>*** Asentamiento del concreto del cemento hidráulico (SLUMP) (valor dado para 5 ensayos), no incluye transporte.</t>
  </si>
  <si>
    <t>*** Elaboración y curado de especímenes de concreto en el laboratorio para ensayos de compresión y flexión.  Fundida de 1 cilindro de concreto (toma) (valor dado para los 6 cilindros ejecutados), no incluye transporte.</t>
  </si>
  <si>
    <t>Determinación de la resistencia a la compresión de prefabricados de concreto. --- SE REQUIERE REALIZAR EL ENSAYO DE ABSORCIÓN PARA REPORTAR LA RESISTENCIA A LA COMPRESIÓN. REQUIERE SEIS UNIDADES. (Valor para seis unidades)</t>
  </si>
  <si>
    <t>Determinación de la absorción de prefabricados de concreto. 
---REQUIERE CINCO UNIDADES (valor para cinco unidades)</t>
  </si>
  <si>
    <t xml:space="preserve">*** Flexotracción en adoquines de concreto para pavimentos. (valor para fallar 5 unidades)  </t>
  </si>
  <si>
    <t>Determinación de la absorción de unidades de mampostería de arcilla ---(valor para 5 unidades)</t>
  </si>
  <si>
    <t>*** Compresión en baldosas con elaboración de probeta ---(por unidad)</t>
  </si>
  <si>
    <t>*** Resistencia al impacto en baldosas --- (por unidad)</t>
  </si>
  <si>
    <t>Determinación de la resistencia a la flexión compresión de unidades de mampostería. --- de arcilla (valor para fallar 5 unidades requeridas)</t>
  </si>
  <si>
    <t>Determinación de la resistencia a la compresión - ladrillos de arcilla (valor para fallar 6 unidades requeridas)</t>
  </si>
  <si>
    <t>Determinación de la resistencia a la compresión - adoquines de arcilla (Valor para fallar 5 unidades)</t>
  </si>
  <si>
    <t>Determinación de la resistencia a la flexión - unidades de mampostería de arcilla (Valor para fallar 6 unidades requeridas)</t>
  </si>
  <si>
    <t>*** Flexotracción en losetas --- (por unidad). --- Para losetas con una área mayor a 20 cm se realiza subcontratación del ensayo</t>
  </si>
  <si>
    <t xml:space="preserve">NTC 2849:1997 
</t>
  </si>
  <si>
    <t xml:space="preserve">NTC 1028:1994
</t>
  </si>
  <si>
    <t>NTC 5402:2006</t>
  </si>
  <si>
    <t>AASHTO T291 2022 o equivalente</t>
  </si>
  <si>
    <t>UNE 103201:2019 o equivalente</t>
  </si>
  <si>
    <t>UNE 103200:2021 o equivalente</t>
  </si>
  <si>
    <t>UNE-ISO/TS 14256-1:2007</t>
  </si>
  <si>
    <t>NTC 5595:2008</t>
  </si>
  <si>
    <t xml:space="preserve">ASTM D 4015:2021 </t>
  </si>
  <si>
    <t xml:space="preserve">NTC-93:2013 
(INV E 219:2013) o  
</t>
  </si>
  <si>
    <t xml:space="preserve">NTC-98:2019
(INV E 218:2013) </t>
  </si>
  <si>
    <t>NTC 93:20122</t>
  </si>
  <si>
    <t>ASTM D 3967</t>
  </si>
  <si>
    <t>M043 Sub</t>
  </si>
  <si>
    <t>M035 Sub</t>
  </si>
  <si>
    <t>M044 Sub</t>
  </si>
  <si>
    <t>M023 Sub</t>
  </si>
  <si>
    <t>M024 Sub</t>
  </si>
  <si>
    <t>S051 Sub</t>
  </si>
  <si>
    <t>S052 Sub</t>
  </si>
  <si>
    <t>S053 Sub</t>
  </si>
  <si>
    <t>S054 Sub</t>
  </si>
  <si>
    <t>S055 Sub</t>
  </si>
  <si>
    <t>S056 Sub</t>
  </si>
  <si>
    <t>S057 Sub</t>
  </si>
  <si>
    <t>S044 Sub</t>
  </si>
  <si>
    <t>S060 Sub</t>
  </si>
  <si>
    <t xml:space="preserve">
***Determinacióndelareactividadpotencialálcalisílicedeagregados( Método Químico).</t>
  </si>
  <si>
    <t>INV E-234:2013</t>
  </si>
  <si>
    <t>A025 Sub</t>
  </si>
  <si>
    <t>A026 Sub</t>
  </si>
  <si>
    <t>UNE 103204:2019</t>
  </si>
  <si>
    <t>M047 Sub</t>
  </si>
  <si>
    <t>A027 Sub</t>
  </si>
  <si>
    <t xml:space="preserve">***Determinación del contenido de azufre en los agregados pétreos. </t>
  </si>
  <si>
    <t>INV E-233:2013</t>
  </si>
  <si>
    <t>***Límites de Atterberg (no líquido - no plástico)</t>
  </si>
  <si>
    <t>INV-E-173:2007 
Método C</t>
  </si>
  <si>
    <t xml:space="preserve"> INV E-173:2007 
Método A</t>
  </si>
  <si>
    <t>Ensayo para determinar la granulometría por tamizado.--- ***con lavado sobre Tamiz 200 (recebos)</t>
  </si>
  <si>
    <t>Ensayo para determinar la granulometría por tamizado.---***sobre tamiz 200 en muestras pequeñas</t>
  </si>
  <si>
    <t>Determinación por lavado el material que pasa el tamiz 75 μm (No. 200) en agregados minerales. --- ***contenido de finos</t>
  </si>
  <si>
    <t>Determinación de los tamaños de las partículas de los suelos ---***(hidrometría)</t>
  </si>
  <si>
    <t>Determinación de las propiedades de consolidación unidimensional de los suelos.---*** (rápida) (método B)</t>
  </si>
  <si>
    <t>***Método de ensayo para determinar las propiedades de consolidación unidimensional de los suelos (rápida) (con rebote intermedio)</t>
  </si>
  <si>
    <t>***Método de ensayo para determinar las propiedades de consolidación unidimensional de los suelos. --- (lenta con descarga) (método A)</t>
  </si>
  <si>
    <t>***Método de ensayo para determinar las propiedades de consolidación unidimensional de los suelos. --- (cohesivos con doble ciclo de carga)</t>
  </si>
  <si>
    <t>Determinación de corte directo de suelos bajo condiciones consolidadas y drenadas. ---*** en suelo cohesivo (tres puntos, tiempo de falla 3 horas) - requiere esfuerzos de parte del cliente o autorización del cliente para que el laboratorio los asigne.</t>
  </si>
  <si>
    <t>CBR de suelos compactados en el laboratorio y sobre muestra inalterada - ***sin inmersión</t>
  </si>
  <si>
    <t>CBR de suelos compactados en el laboratorio y sobre muestra inalterada inalterada. ---***sin y con inmersión</t>
  </si>
  <si>
    <t>S043 Sub</t>
  </si>
  <si>
    <t>INV E 158:20 13</t>
  </si>
  <si>
    <t>NLT 114:1999</t>
  </si>
  <si>
    <t>*Medición de resaltes en barras corrugadas de acero de baja aleación, para refuerzo de concreto. corroborar el precio con el subcontratista.</t>
  </si>
  <si>
    <t>NTC 2289:2020 
Numerales 5, 7, 8</t>
  </si>
  <si>
    <t>***Ensayo de tracción, resistencia a la afluencia, alargamiento, relación Resistencia fluencia calculado, en barras corrugadas de acero de baja aleación, para refuerzo de concreto.corroborar el precio con el subcontratista.</t>
  </si>
  <si>
    <t>***Ensayo de Doblado, Barras corrugadas y lisas  de acero de baja aleación, para refuerzo de concreto. corroborar el precio con el subcontratista.</t>
  </si>
  <si>
    <t>NTC 2289:2020 Numeral 10 
NTC 3353:2021 Numeral 15 
NTC 1:2019 Numerales 3.6, 5.2,
7.11, 8.3, 8.7, 8.9, 9 y 10</t>
  </si>
  <si>
    <t>M048 Sub</t>
  </si>
  <si>
    <r>
      <t>M049 Sub</t>
    </r>
    <r>
      <rPr>
        <b/>
        <sz val="10"/>
        <color theme="1"/>
        <rFont val="Arial"/>
        <family val="2"/>
      </rPr>
      <t xml:space="preserve">
</t>
    </r>
  </si>
  <si>
    <t>M050 Sub</t>
  </si>
  <si>
    <t>NTC 2289:2020 
Numeral 9, 11 y 15.2.
NTC 3353:2021 
Numerales 6, 8, 13 y 14
NTC 2: 2022  Numerales 5.1, 5.2.1, 5.2.2, 6.6, 7.1, 7.3, 7.4, 7.5, 7.6, 7.7, 7.10, 7.11, 7.13, 7.14 y 8</t>
  </si>
  <si>
    <t xml:space="preserve">
***Determinación del contenido de materia orgánica oxidable de un suelo por el método del permanganato potásico.</t>
  </si>
  <si>
    <t>Tipo de muestra</t>
  </si>
  <si>
    <t>B-Bolsa</t>
  </si>
  <si>
    <t>BL-Bloque</t>
  </si>
  <si>
    <t>BR-Briqueta</t>
  </si>
  <si>
    <t>C-Caja</t>
  </si>
  <si>
    <t>CBR-inalterado</t>
  </si>
  <si>
    <t>CIL -Cilindro</t>
  </si>
  <si>
    <t>L-Lona</t>
  </si>
  <si>
    <t>MA -Mezcla
asfáltica</t>
  </si>
  <si>
    <t>NC - Núcleo Concreto</t>
  </si>
  <si>
    <t>N-Núcleo roca</t>
  </si>
  <si>
    <t>SH
Shelby</t>
  </si>
  <si>
    <t>SS 
Split spoon</t>
  </si>
  <si>
    <t>UMA -Ladrillo - (unidad de mampostería arcilla)</t>
  </si>
  <si>
    <t>UMC -unidad de mampostería concreto</t>
  </si>
  <si>
    <t>VG -Viga</t>
  </si>
  <si>
    <t>A028 Sub</t>
  </si>
  <si>
    <t>Componente de RCD Composición de AR</t>
  </si>
  <si>
    <t>UNE-EN 933-11</t>
  </si>
  <si>
    <t>NTC 220:2022</t>
  </si>
  <si>
    <t>Hora de Rotura</t>
  </si>
  <si>
    <t>Hora de Toma</t>
  </si>
  <si>
    <r>
      <t>Instrucciones para diligenciar el formulario
1. Estimado cliente:</t>
    </r>
    <r>
      <rPr>
        <sz val="9"/>
        <rFont val="Arial"/>
        <family val="2"/>
      </rPr>
      <t xml:space="preserve"> seleccione con una X la norma técnica del ensayo y diligencie para cada muestra los campos resaltados en color verde (cuando aplique), Si no aplica escribir N/A</t>
    </r>
    <r>
      <rPr>
        <b/>
        <sz val="9"/>
        <rFont val="Arial"/>
        <family val="2"/>
      </rPr>
      <t>.</t>
    </r>
  </si>
  <si>
    <t>Fecha de actualización: 2024-04-17</t>
  </si>
  <si>
    <r>
      <rPr>
        <b/>
        <sz val="10"/>
        <rFont val="Arial"/>
        <family val="2"/>
      </rPr>
      <t>Instrucciones para diligenciar el formulario.</t>
    </r>
    <r>
      <rPr>
        <sz val="10"/>
        <rFont val="Arial"/>
        <family val="2"/>
      </rPr>
      <t xml:space="preserve">
</t>
    </r>
    <r>
      <rPr>
        <b/>
        <sz val="10"/>
        <rFont val="Arial"/>
        <family val="2"/>
      </rPr>
      <t>1. Estimado cliente</t>
    </r>
    <r>
      <rPr>
        <sz val="10"/>
        <rFont val="Arial"/>
        <family val="2"/>
      </rPr>
      <t>: seleccione con una X la norma técnica del ensayo y diligencie para cada muestra los campos resaltados en color verde (cuando aplique), Si no aplica escribir N/A.</t>
    </r>
  </si>
  <si>
    <r>
      <t xml:space="preserve">Instrucciones para diligenciar el formulario.
1. Estimado cliente: </t>
    </r>
    <r>
      <rPr>
        <sz val="10"/>
        <rFont val="Arial"/>
        <family val="2"/>
      </rPr>
      <t>seleccione con una X la norma técnica del ensayo y diligencie para cada muestra los campos resaltados en color verde (cuando aplique), Si no aplica escribir N/A.</t>
    </r>
  </si>
  <si>
    <t>Versión: 5-24</t>
  </si>
  <si>
    <t>Versión: 7-24</t>
  </si>
  <si>
    <t>Versión: 1-24</t>
  </si>
  <si>
    <t>FECHA INCIO ENSAYO:</t>
  </si>
  <si>
    <t>FECHA FIN ENSAYO:</t>
  </si>
  <si>
    <t>S061Sub</t>
  </si>
  <si>
    <t>*** Método de prueba estándar para la determinación de la velocidad de onda de corte y el módulo de corte inicial en muestras de suelo utilizando elementos de flexión(ensayo Bender Element).</t>
  </si>
  <si>
    <t>ASTM D8295:2019</t>
  </si>
  <si>
    <t>A029Sub</t>
  </si>
  <si>
    <t>*** Determinación del módulo resiliente de suelos y agregados.</t>
  </si>
  <si>
    <t>INV E-156:2013</t>
  </si>
  <si>
    <t>Ensayo para determinar la resistencia a la abrasión de los prefabricados de concreto utilizados en pisos y pavimentos, mediante abrasivo de corindón y disco metálico ancho. corroborar el precio con el subcontratista.</t>
  </si>
  <si>
    <t>NTC 5147:2024</t>
  </si>
  <si>
    <t>M051 Sub</t>
  </si>
  <si>
    <t>,</t>
  </si>
  <si>
    <t>M056 Sub</t>
  </si>
  <si>
    <t>M057 Sub</t>
  </si>
  <si>
    <t>*** Análisis Petrografico. Incluye preparación de muestra.
Corroborar el precio con el subcontratista.</t>
  </si>
  <si>
    <t>ASTM C856:20</t>
  </si>
  <si>
    <t>*** Resistencia a la flexo tracción (Módulo de rotura). Para losetas
de concreto para pavimentos. Corroborar el precio con el subcontratista.</t>
  </si>
  <si>
    <t xml:space="preserve"> NTC 4992:2022 
Numeral 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</si>
</sst>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0"/>
      <name val="Arial"/>
    </font>
    <font>
      <sz val="10"/>
      <name val="Arial"/>
      <family val="2"/>
    </font>
    <font>
      <b/>
      <sz val="12"/>
      <name val="Arial"/>
      <family val="2"/>
    </font>
    <font>
      <sz val="9"/>
      <name val="Arial"/>
      <family val="2"/>
    </font>
    <font>
      <sz val="12"/>
      <name val="Arial"/>
      <family val="2"/>
    </font>
    <font>
      <sz val="11"/>
      <name val="Arial"/>
      <family val="2"/>
    </font>
    <font>
      <b/>
      <sz val="16"/>
      <name val="Arial"/>
      <family val="2"/>
    </font>
    <font>
      <b/>
      <sz val="10"/>
      <name val="Arial"/>
      <family val="2"/>
    </font>
    <font>
      <sz val="12"/>
      <color rgb="FFFF0000"/>
      <name val="Arial"/>
      <family val="2"/>
    </font>
    <font>
      <b/>
      <sz val="11"/>
      <name val="Arial"/>
      <family val="2"/>
    </font>
    <font>
      <b/>
      <sz val="9"/>
      <name val="Arial"/>
      <family val="2"/>
    </font>
    <font>
      <sz val="8"/>
      <name val="Arial"/>
      <family val="2"/>
    </font>
    <font>
      <b/>
      <sz val="8"/>
      <name val="MS Sans Serif"/>
      <family val="2"/>
    </font>
    <font>
      <sz val="7"/>
      <name val="Arial"/>
      <family val="2"/>
    </font>
    <font>
      <b/>
      <sz val="8"/>
      <name val="Arial"/>
      <family val="2"/>
    </font>
    <font>
      <sz val="8"/>
      <color indexed="8"/>
      <name val="Arial"/>
      <family val="2"/>
    </font>
    <font>
      <b/>
      <sz val="8.5"/>
      <name val="Arial"/>
      <family val="2"/>
    </font>
    <font>
      <b/>
      <vertAlign val="superscript"/>
      <sz val="8.5"/>
      <name val="Arial"/>
      <family val="2"/>
    </font>
    <font>
      <vertAlign val="superscript"/>
      <sz val="8"/>
      <name val="Arial"/>
      <family val="2"/>
    </font>
    <font>
      <sz val="6"/>
      <name val="Arial"/>
      <family val="2"/>
    </font>
    <font>
      <b/>
      <sz val="9"/>
      <name val="Calibri"/>
      <family val="2"/>
      <scheme val="minor"/>
    </font>
    <font>
      <sz val="9"/>
      <name val="Calibri"/>
      <family val="2"/>
      <scheme val="minor"/>
    </font>
    <font>
      <sz val="9"/>
      <name val="Calibri"/>
      <family val="2"/>
    </font>
    <font>
      <b/>
      <sz val="10"/>
      <color theme="1"/>
      <name val="Arial"/>
      <family val="2"/>
    </font>
    <font>
      <sz val="10"/>
      <color rgb="FFFF0000"/>
      <name val="Arial"/>
      <family val="2"/>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theme="0" tint="-0.14999847407452621"/>
        <bgColor indexed="64"/>
      </patternFill>
    </fill>
    <fill>
      <patternFill patternType="solid">
        <fgColor theme="2"/>
        <bgColor indexed="64"/>
      </patternFill>
    </fill>
    <fill>
      <patternFill patternType="solid">
        <fgColor theme="6" tint="0.59999389629810485"/>
        <bgColor indexed="64"/>
      </patternFill>
    </fill>
    <fill>
      <patternFill patternType="solid">
        <fgColor rgb="FFFFCC99"/>
        <bgColor indexed="64"/>
      </patternFill>
    </fill>
  </fills>
  <borders count="38">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s>
  <cellStyleXfs count="3">
    <xf numFmtId="0" fontId="0" fillId="0" borderId="0"/>
    <xf numFmtId="9" fontId="1" fillId="0" borderId="0" applyFont="0" applyFill="0" applyBorder="0" applyAlignment="0" applyProtection="0"/>
    <xf numFmtId="0" fontId="1" fillId="0" borderId="0"/>
  </cellStyleXfs>
  <cellXfs count="552">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vertical="center"/>
      <protection locked="0"/>
    </xf>
    <xf numFmtId="9" fontId="2" fillId="0" borderId="0" xfId="1" applyFont="1" applyFill="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 fillId="0" borderId="0" xfId="0" applyFont="1" applyAlignment="1" applyProtection="1">
      <alignment horizontal="center" vertical="center"/>
      <protection locked="0"/>
    </xf>
    <xf numFmtId="0" fontId="4" fillId="0" borderId="10" xfId="0" applyFont="1" applyBorder="1" applyAlignment="1" applyProtection="1">
      <alignment horizontal="center" vertical="center" wrapText="1"/>
      <protection locked="0"/>
    </xf>
    <xf numFmtId="0" fontId="8" fillId="0" borderId="25" xfId="0" applyFont="1" applyBorder="1" applyAlignment="1" applyProtection="1">
      <alignment horizontal="center" vertical="center"/>
      <protection locked="0"/>
    </xf>
    <xf numFmtId="0" fontId="1" fillId="2" borderId="10" xfId="0" applyFont="1" applyFill="1" applyBorder="1" applyAlignment="1" applyProtection="1">
      <alignment horizontal="center" vertical="center" wrapText="1"/>
      <protection locked="0"/>
    </xf>
    <xf numFmtId="0" fontId="1" fillId="0" borderId="0" xfId="2" applyAlignment="1" applyProtection="1">
      <alignment vertical="center"/>
      <protection locked="0"/>
    </xf>
    <xf numFmtId="0" fontId="11" fillId="0" borderId="0" xfId="2" applyFont="1" applyAlignment="1" applyProtection="1">
      <alignment vertical="center"/>
      <protection locked="0"/>
    </xf>
    <xf numFmtId="0" fontId="3" fillId="0" borderId="0" xfId="2" applyFont="1" applyAlignment="1" applyProtection="1">
      <alignment vertical="center"/>
      <protection locked="0"/>
    </xf>
    <xf numFmtId="0" fontId="3" fillId="4" borderId="7" xfId="2" applyFont="1" applyFill="1" applyBorder="1" applyAlignment="1" applyProtection="1">
      <alignment vertical="center"/>
      <protection locked="0"/>
    </xf>
    <xf numFmtId="0" fontId="3" fillId="4" borderId="1" xfId="2" applyFont="1" applyFill="1" applyBorder="1" applyAlignment="1" applyProtection="1">
      <alignment vertical="center"/>
      <protection locked="0"/>
    </xf>
    <xf numFmtId="0" fontId="3" fillId="0" borderId="1" xfId="2" applyFont="1" applyBorder="1" applyAlignment="1" applyProtection="1">
      <alignment vertical="center"/>
      <protection locked="0"/>
    </xf>
    <xf numFmtId="0" fontId="3" fillId="0" borderId="3" xfId="2" applyFont="1" applyBorder="1" applyAlignment="1" applyProtection="1">
      <alignment vertical="center"/>
      <protection locked="0"/>
    </xf>
    <xf numFmtId="0" fontId="10" fillId="4" borderId="7" xfId="2" applyFont="1" applyFill="1" applyBorder="1" applyAlignment="1" applyProtection="1">
      <alignment vertical="center"/>
      <protection locked="0"/>
    </xf>
    <xf numFmtId="0" fontId="3" fillId="4" borderId="1" xfId="2" applyFont="1" applyFill="1" applyBorder="1" applyAlignment="1" applyProtection="1">
      <alignment horizontal="center" vertical="center"/>
      <protection locked="0"/>
    </xf>
    <xf numFmtId="0" fontId="3" fillId="4" borderId="1" xfId="2" applyFont="1" applyFill="1" applyBorder="1" applyAlignment="1" applyProtection="1">
      <alignment horizontal="left" vertical="center"/>
      <protection locked="0"/>
    </xf>
    <xf numFmtId="0" fontId="10" fillId="0" borderId="1" xfId="2" applyFont="1" applyBorder="1" applyAlignment="1" applyProtection="1">
      <alignment vertical="center"/>
      <protection locked="0"/>
    </xf>
    <xf numFmtId="0" fontId="3" fillId="4" borderId="1" xfId="2" applyFont="1" applyFill="1" applyBorder="1" applyAlignment="1" applyProtection="1">
      <alignment vertical="center" wrapText="1"/>
      <protection locked="0"/>
    </xf>
    <xf numFmtId="0" fontId="3" fillId="4" borderId="1" xfId="2" applyFont="1" applyFill="1" applyBorder="1" applyAlignment="1" applyProtection="1">
      <alignment horizontal="left" vertical="center" wrapText="1"/>
      <protection locked="0"/>
    </xf>
    <xf numFmtId="0" fontId="10" fillId="4" borderId="9" xfId="2" applyFont="1" applyFill="1" applyBorder="1" applyAlignment="1" applyProtection="1">
      <alignment vertical="center"/>
      <protection locked="0"/>
    </xf>
    <xf numFmtId="0" fontId="11" fillId="0" borderId="16" xfId="2" applyFont="1" applyBorder="1" applyAlignment="1" applyProtection="1">
      <alignment vertical="center"/>
      <protection locked="0"/>
    </xf>
    <xf numFmtId="0" fontId="15" fillId="0" borderId="16" xfId="2" applyFont="1" applyBorder="1" applyAlignment="1" applyProtection="1">
      <alignment horizontal="center" vertical="center" wrapText="1"/>
      <protection locked="0"/>
    </xf>
    <xf numFmtId="0" fontId="11" fillId="0" borderId="16" xfId="2" applyFont="1" applyBorder="1" applyAlignment="1" applyProtection="1">
      <alignment horizontal="center" vertical="center"/>
      <protection locked="0"/>
    </xf>
    <xf numFmtId="0" fontId="13" fillId="0" borderId="16" xfId="2" applyFont="1" applyBorder="1" applyAlignment="1" applyProtection="1">
      <alignment horizontal="center" vertical="center" textRotation="90" wrapText="1"/>
      <protection locked="0"/>
    </xf>
    <xf numFmtId="0" fontId="13" fillId="0" borderId="35" xfId="2" applyFont="1" applyBorder="1" applyAlignment="1" applyProtection="1">
      <alignment horizontal="center" vertical="center" textRotation="90" wrapText="1"/>
      <protection locked="0"/>
    </xf>
    <xf numFmtId="0" fontId="14" fillId="0" borderId="16" xfId="2" applyFont="1" applyBorder="1" applyAlignment="1" applyProtection="1">
      <alignment horizontal="center" vertical="center" textRotation="90" wrapText="1"/>
      <protection locked="0"/>
    </xf>
    <xf numFmtId="0" fontId="1" fillId="0" borderId="36" xfId="2" applyBorder="1" applyAlignment="1">
      <alignment horizontal="center" vertical="center"/>
    </xf>
    <xf numFmtId="0" fontId="1" fillId="0" borderId="19" xfId="2" applyBorder="1" applyAlignment="1">
      <alignment horizontal="center" vertical="center"/>
    </xf>
    <xf numFmtId="0" fontId="1" fillId="0" borderId="35" xfId="2" applyBorder="1" applyAlignment="1">
      <alignment horizontal="center" vertical="center"/>
    </xf>
    <xf numFmtId="0" fontId="1" fillId="0" borderId="34" xfId="2" applyBorder="1" applyAlignment="1" applyProtection="1">
      <alignment horizontal="center" vertical="center"/>
      <protection locked="0"/>
    </xf>
    <xf numFmtId="0" fontId="1" fillId="0" borderId="25" xfId="2" applyBorder="1" applyAlignment="1" applyProtection="1">
      <alignment horizontal="center" vertical="center"/>
      <protection locked="0"/>
    </xf>
    <xf numFmtId="0" fontId="1" fillId="0" borderId="26" xfId="2" applyBorder="1" applyAlignment="1" applyProtection="1">
      <alignment horizontal="center" vertical="center"/>
      <protection locked="0"/>
    </xf>
    <xf numFmtId="0" fontId="1" fillId="0" borderId="20" xfId="2" applyBorder="1" applyAlignment="1" applyProtection="1">
      <alignment horizontal="center" vertical="center"/>
      <protection locked="0"/>
    </xf>
    <xf numFmtId="0" fontId="1" fillId="0" borderId="21" xfId="2" applyBorder="1" applyAlignment="1" applyProtection="1">
      <alignment horizontal="center" vertical="center"/>
      <protection locked="0"/>
    </xf>
    <xf numFmtId="0" fontId="1" fillId="0" borderId="30" xfId="2" applyBorder="1" applyAlignment="1" applyProtection="1">
      <alignment horizontal="center" vertical="center"/>
      <protection locked="0"/>
    </xf>
    <xf numFmtId="0" fontId="1" fillId="0" borderId="31" xfId="2" applyBorder="1" applyAlignment="1" applyProtection="1">
      <alignment horizontal="center" vertical="center"/>
      <protection locked="0"/>
    </xf>
    <xf numFmtId="0" fontId="1" fillId="0" borderId="32" xfId="2" applyBorder="1" applyAlignment="1" applyProtection="1">
      <alignment horizontal="center" vertical="center"/>
      <protection locked="0"/>
    </xf>
    <xf numFmtId="0" fontId="5" fillId="4" borderId="1" xfId="2" applyFont="1" applyFill="1" applyBorder="1" applyAlignment="1" applyProtection="1">
      <alignment vertical="center"/>
      <protection locked="0"/>
    </xf>
    <xf numFmtId="0" fontId="1" fillId="4" borderId="1" xfId="2" applyFill="1" applyBorder="1" applyAlignment="1" applyProtection="1">
      <alignment vertical="center"/>
      <protection locked="0"/>
    </xf>
    <xf numFmtId="0" fontId="1" fillId="0" borderId="1" xfId="2" applyBorder="1" applyAlignment="1" applyProtection="1">
      <alignment vertical="center"/>
      <protection locked="0"/>
    </xf>
    <xf numFmtId="0" fontId="1" fillId="0" borderId="2" xfId="2" applyBorder="1" applyProtection="1">
      <protection locked="0"/>
    </xf>
    <xf numFmtId="0" fontId="11" fillId="4" borderId="0" xfId="2" applyFont="1" applyFill="1" applyAlignment="1" applyProtection="1">
      <alignment horizontal="left" vertical="center" wrapText="1"/>
      <protection locked="0"/>
    </xf>
    <xf numFmtId="0" fontId="11" fillId="0" borderId="0" xfId="2" applyFont="1" applyAlignment="1" applyProtection="1">
      <alignment horizontal="left" vertical="center" wrapText="1"/>
      <protection locked="0"/>
    </xf>
    <xf numFmtId="0" fontId="11" fillId="0" borderId="21" xfId="2" applyFont="1" applyBorder="1" applyAlignment="1" applyProtection="1">
      <alignment horizontal="left" vertical="center" wrapText="1"/>
      <protection locked="0"/>
    </xf>
    <xf numFmtId="0" fontId="7" fillId="0" borderId="17" xfId="2" applyFont="1" applyBorder="1" applyAlignment="1" applyProtection="1">
      <alignment horizontal="center" vertical="center" wrapText="1"/>
      <protection locked="0"/>
    </xf>
    <xf numFmtId="0" fontId="3" fillId="4" borderId="2" xfId="2" applyFont="1" applyFill="1" applyBorder="1" applyAlignment="1" applyProtection="1">
      <alignment vertical="center"/>
      <protection locked="0"/>
    </xf>
    <xf numFmtId="0" fontId="1" fillId="0" borderId="0" xfId="2" applyAlignment="1" applyProtection="1">
      <alignment horizontal="center" vertical="center"/>
      <protection locked="0"/>
    </xf>
    <xf numFmtId="0" fontId="1" fillId="0" borderId="0" xfId="2" applyAlignment="1" applyProtection="1">
      <alignment horizontal="left"/>
      <protection locked="0"/>
    </xf>
    <xf numFmtId="0" fontId="1" fillId="0" borderId="0" xfId="2" applyAlignment="1" applyProtection="1">
      <alignment vertical="center" wrapText="1"/>
      <protection locked="0"/>
    </xf>
    <xf numFmtId="0" fontId="1" fillId="0" borderId="2" xfId="2" applyBorder="1" applyAlignment="1" applyProtection="1">
      <alignment horizontal="left"/>
      <protection locked="0"/>
    </xf>
    <xf numFmtId="0" fontId="1" fillId="0" borderId="9" xfId="2" applyBorder="1" applyAlignment="1" applyProtection="1">
      <alignment horizontal="center" vertical="center"/>
      <protection locked="0"/>
    </xf>
    <xf numFmtId="0" fontId="1" fillId="0" borderId="2" xfId="2" applyBorder="1" applyAlignment="1" applyProtection="1">
      <alignment horizontal="center" vertical="center"/>
      <protection locked="0"/>
    </xf>
    <xf numFmtId="0" fontId="1" fillId="0" borderId="22" xfId="2" applyBorder="1" applyAlignment="1" applyProtection="1">
      <alignment horizontal="center" vertical="center"/>
      <protection locked="0"/>
    </xf>
    <xf numFmtId="0" fontId="1" fillId="0" borderId="10" xfId="2" applyBorder="1" applyAlignment="1">
      <alignment horizontal="center" vertical="center"/>
    </xf>
    <xf numFmtId="0" fontId="11" fillId="0" borderId="1" xfId="2" applyFont="1" applyBorder="1" applyAlignment="1" applyProtection="1">
      <alignment vertical="center"/>
      <protection locked="0"/>
    </xf>
    <xf numFmtId="0" fontId="7" fillId="0" borderId="4" xfId="0" applyFont="1" applyBorder="1" applyAlignment="1" applyProtection="1">
      <alignment horizontal="center" vertical="center" textRotation="90" wrapText="1"/>
      <protection locked="0"/>
    </xf>
    <xf numFmtId="0" fontId="4" fillId="6" borderId="10" xfId="0" applyFont="1" applyFill="1" applyBorder="1" applyAlignment="1" applyProtection="1">
      <alignment horizontal="center" vertical="center"/>
      <protection locked="0"/>
    </xf>
    <xf numFmtId="0" fontId="9" fillId="4" borderId="0" xfId="2" applyFont="1" applyFill="1" applyAlignment="1" applyProtection="1">
      <alignment horizontal="center" vertical="center"/>
      <protection locked="0"/>
    </xf>
    <xf numFmtId="0" fontId="1" fillId="0" borderId="0" xfId="2" applyAlignment="1">
      <alignment horizontal="center" vertical="center"/>
    </xf>
    <xf numFmtId="0" fontId="5" fillId="0" borderId="0" xfId="2" applyFont="1" applyAlignment="1">
      <alignment horizontal="left" vertical="center"/>
    </xf>
    <xf numFmtId="0" fontId="1" fillId="0" borderId="0" xfId="2" applyAlignment="1">
      <alignment vertical="center"/>
    </xf>
    <xf numFmtId="0" fontId="9" fillId="0" borderId="0" xfId="2" applyFont="1" applyAlignment="1">
      <alignment horizontal="left" vertical="center"/>
    </xf>
    <xf numFmtId="0" fontId="1" fillId="0" borderId="0" xfId="2" applyAlignment="1">
      <alignment horizontal="left" vertical="center"/>
    </xf>
    <xf numFmtId="0" fontId="1" fillId="0" borderId="9" xfId="2" applyBorder="1" applyAlignment="1">
      <alignment vertical="center"/>
    </xf>
    <xf numFmtId="0" fontId="1" fillId="0" borderId="2" xfId="2" applyBorder="1" applyAlignment="1">
      <alignment vertical="center"/>
    </xf>
    <xf numFmtId="0" fontId="1" fillId="4" borderId="2" xfId="2" applyFill="1" applyBorder="1" applyAlignment="1">
      <alignment vertical="center"/>
    </xf>
    <xf numFmtId="0" fontId="7" fillId="0" borderId="0" xfId="2" applyFont="1" applyAlignment="1">
      <alignment horizontal="center" vertical="center" wrapText="1"/>
    </xf>
    <xf numFmtId="0" fontId="1" fillId="0" borderId="1" xfId="2" applyBorder="1" applyAlignment="1">
      <alignment vertical="center"/>
    </xf>
    <xf numFmtId="0" fontId="1" fillId="4" borderId="1" xfId="2" applyFill="1" applyBorder="1" applyAlignment="1">
      <alignment vertical="center"/>
    </xf>
    <xf numFmtId="0" fontId="1" fillId="4" borderId="1" xfId="2" applyFill="1" applyBorder="1" applyAlignment="1">
      <alignment vertical="center" wrapText="1"/>
    </xf>
    <xf numFmtId="0" fontId="7" fillId="0" borderId="7" xfId="2" applyFont="1" applyBorder="1" applyAlignment="1">
      <alignment vertical="center"/>
    </xf>
    <xf numFmtId="0" fontId="7" fillId="4" borderId="2" xfId="2" applyFont="1" applyFill="1" applyBorder="1" applyAlignment="1">
      <alignment vertical="center"/>
    </xf>
    <xf numFmtId="0" fontId="11" fillId="0" borderId="0" xfId="2" applyFont="1" applyAlignment="1">
      <alignment vertical="center"/>
    </xf>
    <xf numFmtId="0" fontId="7" fillId="0" borderId="0" xfId="2" applyFont="1" applyAlignment="1">
      <alignment vertical="center"/>
    </xf>
    <xf numFmtId="0" fontId="7" fillId="0" borderId="0" xfId="2" applyFont="1" applyAlignment="1">
      <alignment horizontal="center" vertical="center"/>
    </xf>
    <xf numFmtId="0" fontId="7" fillId="0" borderId="0" xfId="2" applyFont="1" applyAlignment="1">
      <alignment vertical="center" wrapText="1"/>
    </xf>
    <xf numFmtId="0" fontId="3" fillId="0" borderId="0" xfId="2" applyFont="1" applyAlignment="1" applyProtection="1">
      <alignment horizontal="left" vertical="center"/>
      <protection locked="0"/>
    </xf>
    <xf numFmtId="0" fontId="7" fillId="0" borderId="4" xfId="0" applyFont="1" applyBorder="1" applyAlignment="1">
      <alignment horizontal="center" vertical="center" textRotation="90" wrapText="1"/>
    </xf>
    <xf numFmtId="0" fontId="9" fillId="0" borderId="4" xfId="0" applyFont="1" applyBorder="1" applyAlignment="1" applyProtection="1">
      <alignment horizontal="center" vertical="center" wrapText="1"/>
      <protection locked="0"/>
    </xf>
    <xf numFmtId="0" fontId="4" fillId="6" borderId="4" xfId="0" applyFont="1" applyFill="1" applyBorder="1" applyAlignment="1" applyProtection="1">
      <alignment horizontal="center" vertical="center"/>
      <protection locked="0"/>
    </xf>
    <xf numFmtId="0" fontId="4" fillId="0" borderId="0" xfId="0" applyFont="1" applyProtection="1">
      <protection locked="0"/>
    </xf>
    <xf numFmtId="0" fontId="2" fillId="0" borderId="14" xfId="0" applyFont="1" applyBorder="1" applyAlignment="1">
      <alignment horizontal="center" vertical="center"/>
    </xf>
    <xf numFmtId="0" fontId="4" fillId="0" borderId="0" xfId="0" applyFont="1" applyAlignment="1" applyProtection="1">
      <alignment wrapText="1"/>
      <protection locked="0"/>
    </xf>
    <xf numFmtId="0" fontId="4" fillId="0" borderId="0" xfId="0" applyFont="1" applyAlignment="1" applyProtection="1">
      <alignment horizontal="center" wrapText="1"/>
      <protection locked="0"/>
    </xf>
    <xf numFmtId="0" fontId="4" fillId="0" borderId="1" xfId="0" applyFont="1" applyBorder="1" applyAlignment="1" applyProtection="1">
      <alignment horizontal="center"/>
      <protection locked="0"/>
    </xf>
    <xf numFmtId="0" fontId="4" fillId="0" borderId="0" xfId="0" applyFont="1" applyAlignment="1" applyProtection="1">
      <alignment horizontal="center"/>
      <protection locked="0"/>
    </xf>
    <xf numFmtId="0" fontId="4" fillId="0" borderId="2" xfId="0" applyFont="1" applyBorder="1" applyAlignment="1" applyProtection="1">
      <alignment wrapText="1"/>
      <protection locked="0"/>
    </xf>
    <xf numFmtId="0" fontId="11" fillId="0" borderId="3" xfId="2" applyFont="1" applyBorder="1" applyAlignment="1" applyProtection="1">
      <alignment vertical="center"/>
      <protection locked="0"/>
    </xf>
    <xf numFmtId="0" fontId="3" fillId="0" borderId="1" xfId="2" applyFont="1" applyBorder="1" applyAlignment="1">
      <alignment vertical="center"/>
    </xf>
    <xf numFmtId="0" fontId="1" fillId="0" borderId="0" xfId="2" applyAlignment="1" applyProtection="1">
      <alignment horizontal="right" vertical="center"/>
      <protection locked="0"/>
    </xf>
    <xf numFmtId="0" fontId="1" fillId="0" borderId="0" xfId="2" applyAlignment="1" applyProtection="1">
      <alignment horizontal="left" vertical="center"/>
      <protection locked="0"/>
    </xf>
    <xf numFmtId="0" fontId="1" fillId="0" borderId="4" xfId="2" applyBorder="1" applyAlignment="1">
      <alignment vertical="center"/>
    </xf>
    <xf numFmtId="0" fontId="2" fillId="8" borderId="4" xfId="0" applyFont="1" applyFill="1" applyBorder="1" applyAlignment="1" applyProtection="1">
      <alignment horizontal="center" vertical="center"/>
      <protection locked="0"/>
    </xf>
    <xf numFmtId="0" fontId="3" fillId="7" borderId="1" xfId="2" applyFont="1" applyFill="1" applyBorder="1" applyAlignment="1" applyProtection="1">
      <alignment vertical="center"/>
      <protection locked="0"/>
    </xf>
    <xf numFmtId="0" fontId="5" fillId="4" borderId="1" xfId="2" applyFont="1" applyFill="1" applyBorder="1" applyProtection="1">
      <protection locked="0"/>
    </xf>
    <xf numFmtId="0" fontId="9" fillId="4" borderId="1" xfId="2" applyFont="1" applyFill="1" applyBorder="1" applyProtection="1">
      <protection locked="0"/>
    </xf>
    <xf numFmtId="0" fontId="5" fillId="4" borderId="1" xfId="2" applyFont="1" applyFill="1" applyBorder="1" applyAlignment="1" applyProtection="1">
      <alignment wrapText="1"/>
      <protection locked="0"/>
    </xf>
    <xf numFmtId="0" fontId="5" fillId="4" borderId="3" xfId="2" applyFont="1" applyFill="1" applyBorder="1" applyAlignment="1" applyProtection="1">
      <alignment wrapText="1"/>
      <protection locked="0"/>
    </xf>
    <xf numFmtId="0" fontId="9" fillId="4" borderId="7" xfId="2" applyFont="1" applyFill="1" applyBorder="1" applyProtection="1">
      <protection locked="0"/>
    </xf>
    <xf numFmtId="0" fontId="1" fillId="4" borderId="9" xfId="2" applyFill="1" applyBorder="1" applyAlignment="1" applyProtection="1">
      <alignment vertical="center"/>
      <protection locked="0"/>
    </xf>
    <xf numFmtId="0" fontId="5" fillId="4" borderId="2" xfId="2" applyFont="1" applyFill="1" applyBorder="1" applyAlignment="1" applyProtection="1">
      <alignment vertical="center"/>
      <protection locked="0"/>
    </xf>
    <xf numFmtId="0" fontId="7" fillId="4" borderId="7" xfId="2" applyFont="1" applyFill="1" applyBorder="1" applyAlignment="1" applyProtection="1">
      <alignment vertical="center"/>
      <protection locked="0"/>
    </xf>
    <xf numFmtId="0" fontId="1" fillId="0" borderId="3" xfId="2" applyBorder="1" applyAlignment="1" applyProtection="1">
      <alignment vertical="center"/>
      <protection locked="0"/>
    </xf>
    <xf numFmtId="0" fontId="1" fillId="4" borderId="0" xfId="2" applyFill="1" applyAlignment="1" applyProtection="1">
      <alignment vertical="center" wrapText="1"/>
      <protection locked="0"/>
    </xf>
    <xf numFmtId="0" fontId="9" fillId="4" borderId="0" xfId="2" applyFont="1" applyFill="1" applyAlignment="1" applyProtection="1">
      <alignment vertical="center"/>
      <protection locked="0"/>
    </xf>
    <xf numFmtId="0" fontId="9" fillId="4" borderId="21" xfId="2" applyFont="1" applyFill="1" applyBorder="1" applyAlignment="1" applyProtection="1">
      <alignment vertical="center"/>
      <protection locked="0"/>
    </xf>
    <xf numFmtId="0" fontId="1" fillId="0" borderId="15" xfId="2" applyBorder="1" applyAlignment="1">
      <alignment vertical="center"/>
    </xf>
    <xf numFmtId="0" fontId="1" fillId="0" borderId="16" xfId="2" applyBorder="1" applyAlignment="1">
      <alignment vertical="center"/>
    </xf>
    <xf numFmtId="0" fontId="1" fillId="0" borderId="10" xfId="2" applyBorder="1" applyAlignment="1">
      <alignment vertical="center"/>
    </xf>
    <xf numFmtId="0" fontId="1" fillId="0" borderId="17" xfId="2" applyBorder="1" applyAlignment="1">
      <alignment vertical="center"/>
    </xf>
    <xf numFmtId="0" fontId="7" fillId="0" borderId="7" xfId="2" applyFont="1" applyBorder="1" applyAlignment="1" applyProtection="1">
      <alignment vertical="center"/>
      <protection locked="0"/>
    </xf>
    <xf numFmtId="0" fontId="7" fillId="0" borderId="1" xfId="2" applyFont="1" applyBorder="1" applyAlignment="1" applyProtection="1">
      <alignment vertical="center"/>
      <protection locked="0"/>
    </xf>
    <xf numFmtId="0" fontId="14" fillId="0" borderId="1" xfId="2" applyFont="1" applyBorder="1" applyAlignment="1" applyProtection="1">
      <alignment vertical="center"/>
      <protection locked="0"/>
    </xf>
    <xf numFmtId="0" fontId="5" fillId="0" borderId="1" xfId="2" applyFont="1" applyBorder="1" applyProtection="1">
      <protection locked="0"/>
    </xf>
    <xf numFmtId="0" fontId="5" fillId="4" borderId="1" xfId="2" applyFont="1" applyFill="1" applyBorder="1" applyAlignment="1" applyProtection="1">
      <alignment horizontal="left"/>
      <protection locked="0"/>
    </xf>
    <xf numFmtId="0" fontId="5" fillId="4" borderId="0" xfId="2" applyFont="1" applyFill="1" applyAlignment="1" applyProtection="1">
      <alignment wrapText="1"/>
      <protection locked="0"/>
    </xf>
    <xf numFmtId="0" fontId="5" fillId="0" borderId="0" xfId="2" applyFont="1" applyProtection="1">
      <protection locked="0"/>
    </xf>
    <xf numFmtId="0" fontId="1" fillId="0" borderId="7" xfId="2" applyBorder="1" applyAlignment="1">
      <alignment vertical="center"/>
    </xf>
    <xf numFmtId="0" fontId="1" fillId="4" borderId="8" xfId="2" applyFill="1" applyBorder="1" applyAlignment="1">
      <alignment vertical="center"/>
    </xf>
    <xf numFmtId="0" fontId="1" fillId="0" borderId="8" xfId="2" applyBorder="1" applyAlignment="1">
      <alignment vertical="center"/>
    </xf>
    <xf numFmtId="0" fontId="1" fillId="0" borderId="0" xfId="0" applyFont="1" applyAlignment="1">
      <alignment horizontal="left" vertical="center"/>
    </xf>
    <xf numFmtId="0" fontId="20" fillId="0" borderId="0" xfId="0" applyFont="1" applyAlignment="1">
      <alignment horizontal="center" vertical="center" wrapText="1"/>
    </xf>
    <xf numFmtId="0" fontId="21" fillId="0" borderId="0" xfId="0" applyFont="1" applyAlignment="1">
      <alignment horizontal="left" vertical="center" wrapText="1"/>
    </xf>
    <xf numFmtId="0" fontId="22" fillId="0" borderId="0" xfId="0" applyFont="1" applyAlignment="1">
      <alignment horizontal="left" vertical="center" wrapText="1"/>
    </xf>
    <xf numFmtId="0" fontId="3" fillId="0" borderId="0" xfId="0" applyFont="1" applyAlignment="1">
      <alignment horizontal="left" vertical="center"/>
    </xf>
    <xf numFmtId="0" fontId="21" fillId="0" borderId="0" xfId="0" applyFont="1" applyAlignment="1">
      <alignment vertical="center" wrapText="1"/>
    </xf>
    <xf numFmtId="0" fontId="22" fillId="0" borderId="0" xfId="0" applyFont="1" applyAlignment="1">
      <alignment vertical="center" wrapText="1"/>
    </xf>
    <xf numFmtId="0" fontId="3" fillId="0" borderId="0" xfId="0" applyFont="1" applyAlignment="1">
      <alignment vertical="center"/>
    </xf>
    <xf numFmtId="0" fontId="21" fillId="0" borderId="0" xfId="0" applyFont="1" applyAlignment="1">
      <alignment horizontal="center" vertical="center"/>
    </xf>
    <xf numFmtId="9" fontId="21" fillId="0" borderId="0" xfId="1" applyFont="1" applyFill="1" applyBorder="1" applyAlignment="1">
      <alignment horizontal="center" vertical="center"/>
    </xf>
    <xf numFmtId="0" fontId="3" fillId="0" borderId="0" xfId="0" applyFont="1" applyAlignment="1">
      <alignment horizontal="center" vertical="center"/>
    </xf>
    <xf numFmtId="0" fontId="4" fillId="0" borderId="4" xfId="0" applyFont="1" applyBorder="1" applyAlignment="1" applyProtection="1">
      <alignment horizontal="center" vertical="center" wrapText="1"/>
      <protection locked="0"/>
    </xf>
    <xf numFmtId="0" fontId="4" fillId="0" borderId="17" xfId="0"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1" fillId="2" borderId="19" xfId="0" applyFont="1" applyFill="1" applyBorder="1" applyAlignment="1" applyProtection="1">
      <alignment horizontal="center" vertical="center" wrapText="1"/>
      <protection locked="0"/>
    </xf>
    <xf numFmtId="0" fontId="4" fillId="6" borderId="19" xfId="0" applyFont="1" applyFill="1" applyBorder="1" applyAlignment="1" applyProtection="1">
      <alignment horizontal="center" vertical="center"/>
      <protection locked="0"/>
    </xf>
    <xf numFmtId="0" fontId="4" fillId="0" borderId="8" xfId="0" applyFont="1" applyBorder="1" applyAlignment="1" applyProtection="1">
      <alignment horizontal="center"/>
      <protection locked="0"/>
    </xf>
    <xf numFmtId="0" fontId="4" fillId="0" borderId="10" xfId="0" applyFont="1" applyBorder="1" applyAlignment="1" applyProtection="1">
      <alignment horizontal="left" vertical="center" wrapText="1"/>
      <protection locked="0"/>
    </xf>
    <xf numFmtId="0" fontId="21" fillId="0" borderId="0" xfId="0"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wrapText="1"/>
    </xf>
    <xf numFmtId="9" fontId="20" fillId="0" borderId="0" xfId="1" applyFont="1" applyFill="1" applyBorder="1" applyAlignment="1">
      <alignment horizontal="center" vertical="center"/>
    </xf>
    <xf numFmtId="0" fontId="21" fillId="0" borderId="0" xfId="0" quotePrefix="1" applyFont="1" applyAlignment="1">
      <alignment vertical="center" wrapText="1"/>
    </xf>
    <xf numFmtId="0" fontId="9" fillId="0" borderId="4" xfId="0" applyFont="1" applyBorder="1" applyAlignment="1">
      <alignment horizontal="center" vertical="center"/>
    </xf>
    <xf numFmtId="0" fontId="5" fillId="0" borderId="4" xfId="0" applyFont="1" applyBorder="1" applyAlignment="1">
      <alignment horizontal="left" vertical="center" wrapText="1"/>
    </xf>
    <xf numFmtId="0" fontId="5" fillId="0" borderId="4" xfId="0" applyFont="1" applyBorder="1" applyAlignment="1">
      <alignment horizontal="left" vertical="center"/>
    </xf>
    <xf numFmtId="0" fontId="7" fillId="0" borderId="4" xfId="2" applyFont="1" applyBorder="1" applyAlignment="1">
      <alignment horizontal="left" vertical="center"/>
    </xf>
    <xf numFmtId="0" fontId="5" fillId="7" borderId="1" xfId="2" applyFont="1" applyFill="1" applyBorder="1" applyAlignment="1" applyProtection="1">
      <alignment vertical="center"/>
      <protection locked="0"/>
    </xf>
    <xf numFmtId="0" fontId="1" fillId="7" borderId="1" xfId="2" applyFill="1" applyBorder="1" applyAlignment="1">
      <alignment vertical="center"/>
    </xf>
    <xf numFmtId="0" fontId="7" fillId="4" borderId="4" xfId="2" applyFont="1" applyFill="1" applyBorder="1" applyAlignment="1">
      <alignment horizontal="left" vertical="center"/>
    </xf>
    <xf numFmtId="0" fontId="4" fillId="0" borderId="19"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10" xfId="0" applyFont="1" applyBorder="1" applyAlignment="1" applyProtection="1">
      <alignment horizontal="center" vertical="center" wrapText="1"/>
      <protection locked="0"/>
    </xf>
    <xf numFmtId="0" fontId="8" fillId="0" borderId="10" xfId="0" applyFont="1" applyBorder="1" applyAlignment="1" applyProtection="1">
      <alignment horizontal="left" vertical="center" wrapText="1"/>
      <protection locked="0"/>
    </xf>
    <xf numFmtId="0" fontId="24" fillId="2" borderId="10" xfId="0" applyFont="1" applyFill="1" applyBorder="1" applyAlignment="1" applyProtection="1">
      <alignment horizontal="center" vertical="center" wrapText="1"/>
      <protection locked="0"/>
    </xf>
    <xf numFmtId="0" fontId="8" fillId="6" borderId="10" xfId="0" applyFont="1" applyFill="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2" fillId="0" borderId="18" xfId="0" applyFont="1" applyBorder="1" applyAlignment="1">
      <alignment horizontal="center" vertical="center"/>
    </xf>
    <xf numFmtId="0" fontId="2" fillId="0" borderId="13" xfId="0" applyFont="1" applyBorder="1" applyAlignment="1">
      <alignment horizontal="center" vertical="center"/>
    </xf>
    <xf numFmtId="0" fontId="8" fillId="0" borderId="7"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2" fillId="0" borderId="12" xfId="0" applyFont="1" applyBorder="1" applyAlignment="1">
      <alignment horizontal="center" vertical="center"/>
    </xf>
    <xf numFmtId="0" fontId="4" fillId="0" borderId="2" xfId="0" applyFont="1" applyBorder="1" applyAlignment="1" applyProtection="1">
      <alignment horizontal="center"/>
      <protection locked="0"/>
    </xf>
    <xf numFmtId="165" fontId="4" fillId="0" borderId="7" xfId="0" applyNumberFormat="1" applyFont="1" applyBorder="1" applyAlignment="1" applyProtection="1">
      <alignment horizontal="center" vertical="center"/>
      <protection locked="0"/>
    </xf>
    <xf numFmtId="165" fontId="4" fillId="0" borderId="3" xfId="0" applyNumberFormat="1" applyFont="1" applyBorder="1" applyAlignment="1" applyProtection="1">
      <alignment horizontal="center" vertical="center"/>
      <protection locked="0"/>
    </xf>
    <xf numFmtId="0" fontId="4" fillId="0" borderId="8" xfId="0" applyFont="1" applyBorder="1" applyAlignment="1" applyProtection="1">
      <alignment horizontal="center"/>
      <protection locked="0"/>
    </xf>
    <xf numFmtId="0" fontId="7" fillId="0" borderId="4" xfId="0" applyFont="1" applyBorder="1" applyAlignment="1">
      <alignment horizontal="center" vertical="center" textRotation="90" wrapText="1"/>
    </xf>
    <xf numFmtId="0" fontId="4" fillId="0" borderId="7" xfId="0" applyFont="1" applyBorder="1" applyAlignment="1" applyProtection="1">
      <alignment horizontal="right" vertical="center"/>
      <protection locked="0"/>
    </xf>
    <xf numFmtId="0" fontId="4" fillId="0" borderId="1" xfId="0" applyFont="1" applyBorder="1" applyAlignment="1" applyProtection="1">
      <alignment horizontal="right" vertical="center"/>
      <protection locked="0"/>
    </xf>
    <xf numFmtId="0" fontId="4" fillId="0" borderId="3" xfId="0" applyFont="1" applyBorder="1" applyAlignment="1" applyProtection="1">
      <alignment horizontal="right" vertical="center"/>
      <protection locked="0"/>
    </xf>
    <xf numFmtId="0" fontId="2" fillId="0" borderId="4" xfId="0" applyFont="1" applyBorder="1" applyAlignment="1" applyProtection="1">
      <alignment horizontal="center" vertical="center" wrapText="1"/>
      <protection locked="0"/>
    </xf>
    <xf numFmtId="0" fontId="2" fillId="0" borderId="4" xfId="0" applyFont="1" applyBorder="1" applyAlignment="1" applyProtection="1">
      <alignment horizontal="center" vertical="center"/>
      <protection locked="0"/>
    </xf>
    <xf numFmtId="9" fontId="4" fillId="0" borderId="0" xfId="1" applyFont="1" applyFill="1" applyBorder="1" applyAlignment="1" applyProtection="1">
      <alignment horizontal="center" vertical="center"/>
      <protection locked="0"/>
    </xf>
    <xf numFmtId="9" fontId="2" fillId="0" borderId="0" xfId="1" applyFont="1" applyFill="1" applyBorder="1" applyAlignment="1" applyProtection="1">
      <alignment horizontal="center" vertical="center"/>
      <protection locked="0"/>
    </xf>
    <xf numFmtId="0" fontId="2" fillId="8" borderId="4" xfId="0" applyFont="1" applyFill="1" applyBorder="1" applyAlignment="1" applyProtection="1">
      <alignment horizontal="center" vertical="center"/>
      <protection locked="0"/>
    </xf>
    <xf numFmtId="0" fontId="2" fillId="2" borderId="7"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4" fillId="0" borderId="20" xfId="0" applyFont="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9" xfId="0" applyFont="1" applyBorder="1" applyAlignment="1" applyProtection="1">
      <alignment horizontal="center" vertical="center"/>
      <protection locked="0"/>
    </xf>
    <xf numFmtId="0" fontId="4" fillId="0" borderId="2"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1" fillId="0" borderId="4" xfId="0" applyFont="1" applyBorder="1" applyAlignment="1" applyProtection="1">
      <alignment horizontal="center" vertical="center"/>
      <protection locked="0"/>
    </xf>
    <xf numFmtId="0" fontId="4" fillId="7" borderId="4" xfId="0" applyFont="1" applyFill="1" applyBorder="1" applyAlignment="1" applyProtection="1">
      <alignment horizontal="center" vertical="center"/>
      <protection locked="0"/>
    </xf>
    <xf numFmtId="0" fontId="1" fillId="0" borderId="9" xfId="0" applyFont="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1" fillId="0" borderId="22" xfId="0" applyFont="1" applyBorder="1" applyAlignment="1" applyProtection="1">
      <alignment horizontal="left" vertical="center" wrapText="1"/>
      <protection locked="0"/>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5" fillId="0" borderId="25"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20"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22"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2" fillId="0" borderId="5" xfId="0" applyFont="1" applyBorder="1" applyAlignment="1" applyProtection="1">
      <alignment horizontal="center" vertical="center" wrapText="1"/>
      <protection locked="0"/>
    </xf>
    <xf numFmtId="0" fontId="2" fillId="0" borderId="8" xfId="0" applyFont="1" applyBorder="1" applyAlignment="1" applyProtection="1">
      <alignment horizontal="center" vertical="center" wrapText="1"/>
      <protection locked="0"/>
    </xf>
    <xf numFmtId="0" fontId="2" fillId="0" borderId="6" xfId="0" applyFont="1" applyBorder="1" applyAlignment="1" applyProtection="1">
      <alignment horizontal="center" vertical="center" wrapText="1"/>
      <protection locked="0"/>
    </xf>
    <xf numFmtId="0" fontId="2" fillId="0" borderId="20" xfId="0" applyFont="1" applyBorder="1" applyAlignment="1" applyProtection="1">
      <alignment horizontal="center" vertical="center" wrapText="1"/>
      <protection locked="0"/>
    </xf>
    <xf numFmtId="0" fontId="2" fillId="0" borderId="0" xfId="0" applyFont="1" applyAlignment="1" applyProtection="1">
      <alignment horizontal="center" vertical="center" wrapText="1"/>
      <protection locked="0"/>
    </xf>
    <xf numFmtId="0" fontId="2" fillId="0" borderId="21" xfId="0" applyFont="1" applyBorder="1" applyAlignment="1" applyProtection="1">
      <alignment horizontal="center" vertical="center" wrapText="1"/>
      <protection locked="0"/>
    </xf>
    <xf numFmtId="0" fontId="2" fillId="0" borderId="9"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2" xfId="0" applyFont="1" applyBorder="1" applyAlignment="1" applyProtection="1">
      <alignment horizontal="center" vertical="center" wrapText="1"/>
      <protection locked="0"/>
    </xf>
    <xf numFmtId="0" fontId="2" fillId="7" borderId="17" xfId="0" applyFont="1" applyFill="1" applyBorder="1" applyAlignment="1" applyProtection="1">
      <alignment horizontal="center" vertical="center" textRotation="90" wrapText="1"/>
      <protection locked="0"/>
    </xf>
    <xf numFmtId="0" fontId="2" fillId="7" borderId="19" xfId="0" applyFont="1" applyFill="1" applyBorder="1" applyAlignment="1" applyProtection="1">
      <alignment horizontal="center" vertical="center" textRotation="90" wrapText="1"/>
      <protection locked="0"/>
    </xf>
    <xf numFmtId="0" fontId="2" fillId="7" borderId="10" xfId="0" applyFont="1" applyFill="1" applyBorder="1" applyAlignment="1" applyProtection="1">
      <alignment horizontal="center" vertical="center" textRotation="90" wrapText="1"/>
      <protection locked="0"/>
    </xf>
    <xf numFmtId="0" fontId="9" fillId="0" borderId="17" xfId="0" applyFont="1" applyBorder="1" applyAlignment="1" applyProtection="1">
      <alignment horizontal="center" vertical="center" textRotation="90" wrapText="1"/>
      <protection locked="0"/>
    </xf>
    <xf numFmtId="0" fontId="9" fillId="0" borderId="19" xfId="0" applyFont="1" applyBorder="1" applyAlignment="1" applyProtection="1">
      <alignment horizontal="center" vertical="center" textRotation="90" wrapText="1"/>
      <protection locked="0"/>
    </xf>
    <xf numFmtId="0" fontId="9" fillId="0" borderId="10" xfId="0" applyFont="1" applyBorder="1" applyAlignment="1" applyProtection="1">
      <alignment horizontal="center" vertical="center" textRotation="90" wrapText="1"/>
      <protection locked="0"/>
    </xf>
    <xf numFmtId="0" fontId="4" fillId="0" borderId="1" xfId="0" applyFont="1" applyBorder="1" applyAlignment="1" applyProtection="1">
      <alignment horizontal="center"/>
      <protection locked="0"/>
    </xf>
    <xf numFmtId="165" fontId="4" fillId="0" borderId="1" xfId="0" applyNumberFormat="1" applyFont="1" applyBorder="1" applyAlignment="1" applyProtection="1">
      <alignment horizontal="center"/>
      <protection locked="0"/>
    </xf>
    <xf numFmtId="0" fontId="4" fillId="0" borderId="8" xfId="0" applyFont="1" applyBorder="1" applyAlignment="1" applyProtection="1">
      <alignment horizontal="right"/>
      <protection locked="0"/>
    </xf>
    <xf numFmtId="0" fontId="4" fillId="0" borderId="0" xfId="0" applyFont="1" applyAlignment="1" applyProtection="1">
      <alignment horizontal="right"/>
      <protection locked="0"/>
    </xf>
    <xf numFmtId="165" fontId="4" fillId="0" borderId="1" xfId="0" applyNumberFormat="1" applyFont="1" applyBorder="1" applyAlignment="1" applyProtection="1">
      <alignment horizontal="center" wrapText="1"/>
      <protection locked="0"/>
    </xf>
    <xf numFmtId="0" fontId="10" fillId="0" borderId="7" xfId="2" applyFont="1" applyBorder="1" applyAlignment="1" applyProtection="1">
      <alignment horizontal="left" vertical="center"/>
      <protection locked="0"/>
    </xf>
    <xf numFmtId="0" fontId="10" fillId="0" borderId="1" xfId="2" applyFont="1" applyBorder="1" applyAlignment="1" applyProtection="1">
      <alignment horizontal="left" vertical="center"/>
      <protection locked="0"/>
    </xf>
    <xf numFmtId="0" fontId="10" fillId="0" borderId="3" xfId="2" applyFont="1" applyBorder="1" applyAlignment="1" applyProtection="1">
      <alignment horizontal="left" vertical="center"/>
      <protection locked="0"/>
    </xf>
    <xf numFmtId="0" fontId="3" fillId="4" borderId="7" xfId="2" applyFont="1" applyFill="1" applyBorder="1" applyAlignment="1" applyProtection="1">
      <alignment horizontal="left" vertical="center"/>
      <protection locked="0"/>
    </xf>
    <xf numFmtId="0" fontId="3" fillId="4" borderId="1" xfId="2" applyFont="1" applyFill="1" applyBorder="1" applyAlignment="1" applyProtection="1">
      <alignment horizontal="left" vertical="center"/>
      <protection locked="0"/>
    </xf>
    <xf numFmtId="0" fontId="3" fillId="4" borderId="3" xfId="2" applyFont="1" applyFill="1" applyBorder="1" applyAlignment="1" applyProtection="1">
      <alignment horizontal="left" vertical="center"/>
      <protection locked="0"/>
    </xf>
    <xf numFmtId="0" fontId="11" fillId="0" borderId="4" xfId="2" applyFont="1" applyBorder="1" applyAlignment="1" applyProtection="1">
      <alignment horizontal="center" vertical="center"/>
      <protection locked="0"/>
    </xf>
    <xf numFmtId="0" fontId="15" fillId="0" borderId="16" xfId="2" applyFont="1" applyBorder="1" applyAlignment="1" applyProtection="1">
      <alignment horizontal="center" vertical="center" wrapText="1"/>
      <protection locked="0"/>
    </xf>
    <xf numFmtId="49" fontId="12" fillId="2" borderId="15" xfId="2" applyNumberFormat="1" applyFont="1" applyFill="1" applyBorder="1" applyAlignment="1" applyProtection="1">
      <alignment horizontal="center" vertical="center" wrapText="1"/>
      <protection locked="0"/>
    </xf>
    <xf numFmtId="0" fontId="13" fillId="2" borderId="15" xfId="2" applyFont="1" applyFill="1" applyBorder="1" applyAlignment="1" applyProtection="1">
      <alignment horizontal="center" vertical="center" wrapText="1"/>
      <protection locked="0"/>
    </xf>
    <xf numFmtId="0" fontId="13" fillId="2" borderId="16" xfId="2" applyFont="1" applyFill="1" applyBorder="1" applyAlignment="1" applyProtection="1">
      <alignment horizontal="center" vertical="center" wrapText="1"/>
      <protection locked="0"/>
    </xf>
    <xf numFmtId="0" fontId="10" fillId="4" borderId="27" xfId="2" applyFont="1" applyFill="1" applyBorder="1" applyAlignment="1" applyProtection="1">
      <alignment horizontal="left" vertical="center" wrapText="1"/>
      <protection locked="0"/>
    </xf>
    <xf numFmtId="0" fontId="10" fillId="4" borderId="28" xfId="2" applyFont="1" applyFill="1" applyBorder="1" applyAlignment="1" applyProtection="1">
      <alignment horizontal="left" vertical="center"/>
      <protection locked="0"/>
    </xf>
    <xf numFmtId="0" fontId="10" fillId="4" borderId="29" xfId="2" applyFont="1" applyFill="1" applyBorder="1" applyAlignment="1" applyProtection="1">
      <alignment horizontal="left" vertical="center"/>
      <protection locked="0"/>
    </xf>
    <xf numFmtId="0" fontId="14" fillId="2" borderId="15" xfId="2" applyFont="1" applyFill="1" applyBorder="1" applyAlignment="1" applyProtection="1">
      <alignment horizontal="center" vertical="center" wrapText="1"/>
      <protection locked="0"/>
    </xf>
    <xf numFmtId="0" fontId="14" fillId="2" borderId="16" xfId="2" applyFont="1" applyFill="1" applyBorder="1" applyAlignment="1" applyProtection="1">
      <alignment horizontal="center" vertical="center" wrapText="1"/>
      <protection locked="0"/>
    </xf>
    <xf numFmtId="164" fontId="15" fillId="0" borderId="16" xfId="2" applyNumberFormat="1" applyFont="1" applyBorder="1" applyAlignment="1" applyProtection="1">
      <alignment horizontal="center" vertical="center" wrapText="1"/>
      <protection locked="0"/>
    </xf>
    <xf numFmtId="0" fontId="3" fillId="4" borderId="1" xfId="2" applyFont="1" applyFill="1" applyBorder="1" applyAlignment="1" applyProtection="1">
      <alignment horizontal="left" vertical="center" wrapText="1"/>
      <protection locked="0"/>
    </xf>
    <xf numFmtId="0" fontId="3" fillId="4" borderId="3" xfId="2" applyFont="1" applyFill="1" applyBorder="1" applyAlignment="1" applyProtection="1">
      <alignment horizontal="left" vertical="center" wrapText="1"/>
      <protection locked="0"/>
    </xf>
    <xf numFmtId="0" fontId="10" fillId="0" borderId="4" xfId="2" applyFont="1" applyBorder="1" applyAlignment="1" applyProtection="1">
      <alignment horizontal="left" vertical="center"/>
      <protection locked="0"/>
    </xf>
    <xf numFmtId="0" fontId="10" fillId="3" borderId="7" xfId="2" applyFont="1" applyFill="1" applyBorder="1" applyAlignment="1" applyProtection="1">
      <alignment horizontal="left" vertical="center"/>
      <protection locked="0"/>
    </xf>
    <xf numFmtId="0" fontId="10" fillId="3" borderId="1" xfId="2" applyFont="1" applyFill="1" applyBorder="1" applyAlignment="1" applyProtection="1">
      <alignment horizontal="left" vertical="center"/>
      <protection locked="0"/>
    </xf>
    <xf numFmtId="0" fontId="10" fillId="3" borderId="3" xfId="2" applyFont="1" applyFill="1" applyBorder="1" applyAlignment="1" applyProtection="1">
      <alignment horizontal="left" vertical="center"/>
      <protection locked="0"/>
    </xf>
    <xf numFmtId="0" fontId="11" fillId="0" borderId="34" xfId="2" applyFont="1" applyBorder="1" applyAlignment="1" applyProtection="1">
      <alignment horizontal="center" vertical="center" wrapText="1"/>
      <protection locked="0"/>
    </xf>
    <xf numFmtId="0" fontId="11" fillId="0" borderId="25" xfId="2" applyFont="1" applyBorder="1" applyAlignment="1" applyProtection="1">
      <alignment horizontal="center" vertical="center" wrapText="1"/>
      <protection locked="0"/>
    </xf>
    <xf numFmtId="0" fontId="11" fillId="0" borderId="26" xfId="2" applyFont="1" applyBorder="1" applyAlignment="1" applyProtection="1">
      <alignment horizontal="center" vertical="center" wrapText="1"/>
      <protection locked="0"/>
    </xf>
    <xf numFmtId="0" fontId="11" fillId="0" borderId="30" xfId="2" applyFont="1" applyBorder="1" applyAlignment="1" applyProtection="1">
      <alignment horizontal="center" vertical="center" wrapText="1"/>
      <protection locked="0"/>
    </xf>
    <xf numFmtId="0" fontId="11" fillId="0" borderId="32" xfId="2" applyFont="1" applyBorder="1" applyAlignment="1" applyProtection="1">
      <alignment horizontal="center" vertical="center" wrapText="1"/>
      <protection locked="0"/>
    </xf>
    <xf numFmtId="0" fontId="14" fillId="0" borderId="16" xfId="2" applyFont="1" applyBorder="1" applyAlignment="1" applyProtection="1">
      <alignment horizontal="center" vertical="center" wrapText="1"/>
      <protection locked="0"/>
    </xf>
    <xf numFmtId="0" fontId="14" fillId="7" borderId="34" xfId="2" applyFont="1" applyFill="1" applyBorder="1" applyAlignment="1" applyProtection="1">
      <alignment horizontal="center" vertical="center" wrapText="1"/>
      <protection locked="0"/>
    </xf>
    <xf numFmtId="0" fontId="14" fillId="7" borderId="25" xfId="2" applyFont="1" applyFill="1" applyBorder="1" applyAlignment="1" applyProtection="1">
      <alignment horizontal="center" vertical="center" wrapText="1"/>
      <protection locked="0"/>
    </xf>
    <xf numFmtId="0" fontId="14" fillId="7" borderId="30" xfId="2" applyFont="1" applyFill="1" applyBorder="1" applyAlignment="1" applyProtection="1">
      <alignment horizontal="center" vertical="center" wrapText="1"/>
      <protection locked="0"/>
    </xf>
    <xf numFmtId="0" fontId="14" fillId="7" borderId="31" xfId="2" applyFont="1" applyFill="1" applyBorder="1" applyAlignment="1" applyProtection="1">
      <alignment horizontal="center" vertical="center" wrapText="1"/>
      <protection locked="0"/>
    </xf>
    <xf numFmtId="0" fontId="14" fillId="7" borderId="34" xfId="2" applyFont="1" applyFill="1" applyBorder="1" applyAlignment="1" applyProtection="1">
      <alignment horizontal="center" vertical="center"/>
      <protection locked="0"/>
    </xf>
    <xf numFmtId="0" fontId="14" fillId="7" borderId="25" xfId="2" applyFont="1" applyFill="1" applyBorder="1" applyAlignment="1" applyProtection="1">
      <alignment horizontal="center" vertical="center"/>
      <protection locked="0"/>
    </xf>
    <xf numFmtId="0" fontId="14" fillId="7" borderId="26" xfId="2" applyFont="1" applyFill="1" applyBorder="1" applyAlignment="1" applyProtection="1">
      <alignment horizontal="center" vertical="center"/>
      <protection locked="0"/>
    </xf>
    <xf numFmtId="0" fontId="14" fillId="7" borderId="30" xfId="2" applyFont="1" applyFill="1" applyBorder="1" applyAlignment="1" applyProtection="1">
      <alignment horizontal="center" vertical="center"/>
      <protection locked="0"/>
    </xf>
    <xf numFmtId="0" fontId="14" fillId="7" borderId="31" xfId="2" applyFont="1" applyFill="1" applyBorder="1" applyAlignment="1" applyProtection="1">
      <alignment horizontal="center" vertical="center"/>
      <protection locked="0"/>
    </xf>
    <xf numFmtId="0" fontId="14" fillId="7" borderId="32" xfId="2" applyFont="1" applyFill="1" applyBorder="1" applyAlignment="1" applyProtection="1">
      <alignment horizontal="center" vertical="center"/>
      <protection locked="0"/>
    </xf>
    <xf numFmtId="0" fontId="16" fillId="7" borderId="34" xfId="2" applyFont="1" applyFill="1" applyBorder="1" applyAlignment="1" applyProtection="1">
      <alignment horizontal="center" vertical="center" textRotation="90" wrapText="1"/>
      <protection locked="0"/>
    </xf>
    <xf numFmtId="0" fontId="16" fillId="7" borderId="25" xfId="2" applyFont="1" applyFill="1" applyBorder="1" applyAlignment="1" applyProtection="1">
      <alignment horizontal="center" vertical="center" textRotation="90" wrapText="1"/>
      <protection locked="0"/>
    </xf>
    <xf numFmtId="0" fontId="16" fillId="7" borderId="26" xfId="2" applyFont="1" applyFill="1" applyBorder="1" applyAlignment="1" applyProtection="1">
      <alignment horizontal="center" vertical="center" textRotation="90" wrapText="1"/>
      <protection locked="0"/>
    </xf>
    <xf numFmtId="0" fontId="16" fillId="7" borderId="30" xfId="2" applyFont="1" applyFill="1" applyBorder="1" applyAlignment="1" applyProtection="1">
      <alignment horizontal="center" vertical="center" textRotation="90" wrapText="1"/>
      <protection locked="0"/>
    </xf>
    <xf numFmtId="0" fontId="16" fillId="7" borderId="31" xfId="2" applyFont="1" applyFill="1" applyBorder="1" applyAlignment="1" applyProtection="1">
      <alignment horizontal="center" vertical="center" textRotation="90" wrapText="1"/>
      <protection locked="0"/>
    </xf>
    <xf numFmtId="0" fontId="16" fillId="7" borderId="32" xfId="2" applyFont="1" applyFill="1" applyBorder="1" applyAlignment="1" applyProtection="1">
      <alignment horizontal="center" vertical="center" textRotation="90" wrapText="1"/>
      <protection locked="0"/>
    </xf>
    <xf numFmtId="0" fontId="14" fillId="7" borderId="23" xfId="2" applyFont="1" applyFill="1" applyBorder="1" applyAlignment="1" applyProtection="1">
      <alignment horizontal="center" vertical="center"/>
      <protection locked="0"/>
    </xf>
    <xf numFmtId="0" fontId="14" fillId="7" borderId="24" xfId="2" applyFont="1" applyFill="1" applyBorder="1" applyAlignment="1" applyProtection="1">
      <alignment horizontal="center" vertical="center"/>
      <protection locked="0"/>
    </xf>
    <xf numFmtId="0" fontId="14" fillId="7" borderId="33" xfId="2" applyFont="1" applyFill="1" applyBorder="1" applyAlignment="1" applyProtection="1">
      <alignment horizontal="center" vertical="center"/>
      <protection locked="0"/>
    </xf>
    <xf numFmtId="0" fontId="14" fillId="5" borderId="23" xfId="2" applyFont="1" applyFill="1" applyBorder="1" applyAlignment="1" applyProtection="1">
      <alignment horizontal="center" vertical="center"/>
      <protection locked="0"/>
    </xf>
    <xf numFmtId="0" fontId="14" fillId="5" borderId="24" xfId="2" applyFont="1" applyFill="1" applyBorder="1" applyAlignment="1" applyProtection="1">
      <alignment horizontal="center" vertical="center"/>
      <protection locked="0"/>
    </xf>
    <xf numFmtId="0" fontId="14" fillId="5" borderId="33" xfId="2" applyFont="1" applyFill="1" applyBorder="1" applyAlignment="1" applyProtection="1">
      <alignment horizontal="center" vertical="center"/>
      <protection locked="0"/>
    </xf>
    <xf numFmtId="0" fontId="14" fillId="7" borderId="27" xfId="2" applyFont="1" applyFill="1" applyBorder="1" applyAlignment="1" applyProtection="1">
      <alignment horizontal="center" vertical="center"/>
      <protection locked="0"/>
    </xf>
    <xf numFmtId="0" fontId="14" fillId="7" borderId="29" xfId="2" applyFont="1" applyFill="1" applyBorder="1" applyAlignment="1" applyProtection="1">
      <alignment horizontal="center" vertical="center"/>
      <protection locked="0"/>
    </xf>
    <xf numFmtId="0" fontId="14" fillId="0" borderId="27" xfId="2" applyFont="1" applyBorder="1" applyAlignment="1" applyProtection="1">
      <alignment horizontal="center" vertical="center"/>
      <protection locked="0"/>
    </xf>
    <xf numFmtId="0" fontId="14" fillId="0" borderId="29" xfId="2" applyFont="1" applyBorder="1" applyAlignment="1" applyProtection="1">
      <alignment horizontal="center" vertical="center"/>
      <protection locked="0"/>
    </xf>
    <xf numFmtId="0" fontId="14" fillId="0" borderId="27" xfId="2" applyFont="1" applyBorder="1" applyAlignment="1" applyProtection="1">
      <alignment horizontal="center" vertical="center" wrapText="1"/>
      <protection locked="0"/>
    </xf>
    <xf numFmtId="0" fontId="14" fillId="0" borderId="29" xfId="2" applyFont="1" applyBorder="1" applyAlignment="1" applyProtection="1">
      <alignment horizontal="center" vertical="center" wrapText="1"/>
      <protection locked="0"/>
    </xf>
    <xf numFmtId="0" fontId="13" fillId="0" borderId="27" xfId="2" applyFont="1" applyBorder="1" applyAlignment="1" applyProtection="1">
      <alignment horizontal="center" vertical="center" wrapText="1"/>
      <protection locked="0"/>
    </xf>
    <xf numFmtId="0" fontId="11" fillId="0" borderId="29" xfId="2" applyFont="1" applyBorder="1" applyAlignment="1" applyProtection="1">
      <alignment horizontal="center" vertical="center" wrapText="1"/>
      <protection locked="0"/>
    </xf>
    <xf numFmtId="0" fontId="14" fillId="0" borderId="23" xfId="2" applyFont="1" applyBorder="1" applyAlignment="1" applyProtection="1">
      <alignment horizontal="center" vertical="center" wrapText="1"/>
      <protection locked="0"/>
    </xf>
    <xf numFmtId="0" fontId="14" fillId="0" borderId="24" xfId="2" applyFont="1" applyBorder="1" applyAlignment="1" applyProtection="1">
      <alignment horizontal="center" vertical="center" wrapText="1"/>
      <protection locked="0"/>
    </xf>
    <xf numFmtId="0" fontId="14" fillId="0" borderId="33" xfId="2" applyFont="1" applyBorder="1" applyAlignment="1" applyProtection="1">
      <alignment horizontal="center" vertical="center" wrapText="1"/>
      <protection locked="0"/>
    </xf>
    <xf numFmtId="0" fontId="14" fillId="0" borderId="15" xfId="2" applyFont="1" applyBorder="1" applyAlignment="1" applyProtection="1">
      <alignment horizontal="center" vertical="center" wrapText="1"/>
      <protection locked="0"/>
    </xf>
    <xf numFmtId="0" fontId="14" fillId="0" borderId="34" xfId="2" applyFont="1" applyBorder="1" applyAlignment="1" applyProtection="1">
      <alignment horizontal="center" vertical="center" wrapText="1"/>
      <protection locked="0"/>
    </xf>
    <xf numFmtId="0" fontId="14" fillId="0" borderId="25" xfId="2" applyFont="1" applyBorder="1" applyAlignment="1" applyProtection="1">
      <alignment horizontal="center" vertical="center" wrapText="1"/>
      <protection locked="0"/>
    </xf>
    <xf numFmtId="0" fontId="14" fillId="0" borderId="26" xfId="2" applyFont="1" applyBorder="1" applyAlignment="1" applyProtection="1">
      <alignment horizontal="center" vertical="center" wrapText="1"/>
      <protection locked="0"/>
    </xf>
    <xf numFmtId="0" fontId="14" fillId="0" borderId="30" xfId="2" applyFont="1" applyBorder="1" applyAlignment="1" applyProtection="1">
      <alignment horizontal="center" vertical="center" wrapText="1"/>
      <protection locked="0"/>
    </xf>
    <xf numFmtId="0" fontId="14" fillId="0" borderId="31" xfId="2" applyFont="1" applyBorder="1" applyAlignment="1" applyProtection="1">
      <alignment horizontal="center" vertical="center" wrapText="1"/>
      <protection locked="0"/>
    </xf>
    <xf numFmtId="0" fontId="14" fillId="0" borderId="32" xfId="2" applyFont="1" applyBorder="1" applyAlignment="1" applyProtection="1">
      <alignment horizontal="center" vertical="center" wrapText="1"/>
      <protection locked="0"/>
    </xf>
    <xf numFmtId="0" fontId="1" fillId="0" borderId="0" xfId="2" applyAlignment="1" applyProtection="1">
      <alignment horizontal="center" vertical="center"/>
      <protection locked="0"/>
    </xf>
    <xf numFmtId="0" fontId="1" fillId="0" borderId="7" xfId="2" applyBorder="1" applyAlignment="1">
      <alignment horizontal="center" vertical="center"/>
    </xf>
    <xf numFmtId="0" fontId="1" fillId="0" borderId="1" xfId="2" applyBorder="1" applyAlignment="1">
      <alignment horizontal="center" vertical="center"/>
    </xf>
    <xf numFmtId="0" fontId="1" fillId="0" borderId="3" xfId="2" applyBorder="1" applyAlignment="1">
      <alignment horizontal="center" vertical="center"/>
    </xf>
    <xf numFmtId="0" fontId="1" fillId="0" borderId="27" xfId="2" applyBorder="1" applyAlignment="1">
      <alignment horizontal="center" vertical="center"/>
    </xf>
    <xf numFmtId="0" fontId="1" fillId="0" borderId="28" xfId="2" applyBorder="1" applyAlignment="1">
      <alignment horizontal="center" vertical="center"/>
    </xf>
    <xf numFmtId="0" fontId="1" fillId="0" borderId="29" xfId="2" applyBorder="1" applyAlignment="1">
      <alignment horizontal="center" vertical="center"/>
    </xf>
    <xf numFmtId="0" fontId="1" fillId="0" borderId="36" xfId="2" applyBorder="1" applyAlignment="1">
      <alignment horizontal="center" vertical="center"/>
    </xf>
    <xf numFmtId="0" fontId="1" fillId="0" borderId="19" xfId="2" applyBorder="1" applyAlignment="1">
      <alignment horizontal="center" vertical="center"/>
    </xf>
    <xf numFmtId="0" fontId="1" fillId="0" borderId="35" xfId="2" applyBorder="1" applyAlignment="1">
      <alignment horizontal="center" vertical="center"/>
    </xf>
    <xf numFmtId="0" fontId="1" fillId="0" borderId="34" xfId="2" applyBorder="1" applyAlignment="1">
      <alignment horizontal="center" vertical="center"/>
    </xf>
    <xf numFmtId="0" fontId="1" fillId="0" borderId="25" xfId="2" applyBorder="1" applyAlignment="1">
      <alignment horizontal="center" vertical="center"/>
    </xf>
    <xf numFmtId="0" fontId="1" fillId="0" borderId="26" xfId="2" applyBorder="1" applyAlignment="1">
      <alignment horizontal="center" vertical="center"/>
    </xf>
    <xf numFmtId="0" fontId="1" fillId="0" borderId="20" xfId="2" applyBorder="1" applyAlignment="1">
      <alignment horizontal="center" vertical="center"/>
    </xf>
    <xf numFmtId="0" fontId="1" fillId="0" borderId="0" xfId="2" applyAlignment="1">
      <alignment horizontal="center" vertical="center"/>
    </xf>
    <xf numFmtId="0" fontId="1" fillId="0" borderId="21" xfId="2" applyBorder="1" applyAlignment="1">
      <alignment horizontal="center" vertical="center"/>
    </xf>
    <xf numFmtId="0" fontId="1" fillId="0" borderId="30" xfId="2" applyBorder="1" applyAlignment="1">
      <alignment horizontal="center" vertical="center"/>
    </xf>
    <xf numFmtId="0" fontId="1" fillId="0" borderId="31" xfId="2" applyBorder="1" applyAlignment="1">
      <alignment horizontal="center" vertical="center"/>
    </xf>
    <xf numFmtId="0" fontId="1" fillId="0" borderId="32" xfId="2" applyBorder="1" applyAlignment="1">
      <alignment horizontal="center" vertical="center"/>
    </xf>
    <xf numFmtId="0" fontId="4" fillId="0" borderId="23" xfId="2" applyFont="1" applyBorder="1" applyAlignment="1">
      <alignment horizontal="center" vertical="center"/>
    </xf>
    <xf numFmtId="0" fontId="4" fillId="0" borderId="24" xfId="2" applyFont="1" applyBorder="1" applyAlignment="1">
      <alignment horizontal="center" vertical="center"/>
    </xf>
    <xf numFmtId="0" fontId="1" fillId="0" borderId="23" xfId="2" applyBorder="1" applyAlignment="1">
      <alignment horizontal="center" vertical="center"/>
    </xf>
    <xf numFmtId="0" fontId="1" fillId="0" borderId="33" xfId="2" applyBorder="1" applyAlignment="1">
      <alignment horizontal="center" vertical="center"/>
    </xf>
    <xf numFmtId="0" fontId="1" fillId="0" borderId="34" xfId="2" applyBorder="1" applyAlignment="1" applyProtection="1">
      <alignment horizontal="center" vertical="center"/>
      <protection locked="0"/>
    </xf>
    <xf numFmtId="0" fontId="1" fillId="0" borderId="25" xfId="2" applyBorder="1" applyAlignment="1" applyProtection="1">
      <alignment horizontal="center" vertical="center"/>
      <protection locked="0"/>
    </xf>
    <xf numFmtId="0" fontId="1" fillId="0" borderId="20" xfId="2" applyBorder="1" applyAlignment="1" applyProtection="1">
      <alignment horizontal="center" vertical="center"/>
      <protection locked="0"/>
    </xf>
    <xf numFmtId="0" fontId="1" fillId="0" borderId="30" xfId="2" applyBorder="1" applyAlignment="1" applyProtection="1">
      <alignment horizontal="center" vertical="center"/>
      <protection locked="0"/>
    </xf>
    <xf numFmtId="0" fontId="1" fillId="0" borderId="31" xfId="2" applyBorder="1" applyAlignment="1" applyProtection="1">
      <alignment horizontal="center" vertical="center"/>
      <protection locked="0"/>
    </xf>
    <xf numFmtId="0" fontId="1" fillId="0" borderId="26" xfId="2" applyBorder="1" applyAlignment="1" applyProtection="1">
      <alignment horizontal="center" vertical="center"/>
      <protection locked="0"/>
    </xf>
    <xf numFmtId="0" fontId="1" fillId="0" borderId="21" xfId="2" applyBorder="1" applyAlignment="1" applyProtection="1">
      <alignment horizontal="center" vertical="center"/>
      <protection locked="0"/>
    </xf>
    <xf numFmtId="0" fontId="1" fillId="0" borderId="32" xfId="2" applyBorder="1" applyAlignment="1" applyProtection="1">
      <alignment horizontal="center" vertical="center"/>
      <protection locked="0"/>
    </xf>
    <xf numFmtId="165" fontId="1" fillId="0" borderId="34" xfId="2" applyNumberFormat="1" applyBorder="1" applyAlignment="1" applyProtection="1">
      <alignment horizontal="center" vertical="center"/>
      <protection locked="0"/>
    </xf>
    <xf numFmtId="165" fontId="1" fillId="0" borderId="25" xfId="2" applyNumberFormat="1" applyBorder="1" applyAlignment="1" applyProtection="1">
      <alignment horizontal="center" vertical="center"/>
      <protection locked="0"/>
    </xf>
    <xf numFmtId="165" fontId="1" fillId="0" borderId="26" xfId="2" applyNumberFormat="1" applyBorder="1" applyAlignment="1" applyProtection="1">
      <alignment horizontal="center" vertical="center"/>
      <protection locked="0"/>
    </xf>
    <xf numFmtId="165" fontId="1" fillId="0" borderId="20" xfId="2" applyNumberFormat="1" applyBorder="1" applyAlignment="1" applyProtection="1">
      <alignment horizontal="center" vertical="center"/>
      <protection locked="0"/>
    </xf>
    <xf numFmtId="165" fontId="1" fillId="0" borderId="0" xfId="2" applyNumberFormat="1" applyAlignment="1" applyProtection="1">
      <alignment horizontal="center" vertical="center"/>
      <protection locked="0"/>
    </xf>
    <xf numFmtId="165" fontId="1" fillId="0" borderId="21" xfId="2" applyNumberFormat="1" applyBorder="1" applyAlignment="1" applyProtection="1">
      <alignment horizontal="center" vertical="center"/>
      <protection locked="0"/>
    </xf>
    <xf numFmtId="165" fontId="1" fillId="0" borderId="30" xfId="2" applyNumberFormat="1" applyBorder="1" applyAlignment="1" applyProtection="1">
      <alignment horizontal="center" vertical="center"/>
      <protection locked="0"/>
    </xf>
    <xf numFmtId="165" fontId="1" fillId="0" borderId="31" xfId="2" applyNumberFormat="1" applyBorder="1" applyAlignment="1" applyProtection="1">
      <alignment horizontal="center" vertical="center"/>
      <protection locked="0"/>
    </xf>
    <xf numFmtId="165" fontId="1" fillId="0" borderId="32" xfId="2" applyNumberFormat="1" applyBorder="1" applyAlignment="1" applyProtection="1">
      <alignment horizontal="center" vertical="center"/>
      <protection locked="0"/>
    </xf>
    <xf numFmtId="165" fontId="1" fillId="0" borderId="34" xfId="2" applyNumberFormat="1" applyBorder="1" applyAlignment="1">
      <alignment horizontal="center" vertical="center"/>
    </xf>
    <xf numFmtId="165" fontId="1" fillId="0" borderId="25" xfId="2" applyNumberFormat="1" applyBorder="1" applyAlignment="1">
      <alignment horizontal="center" vertical="center"/>
    </xf>
    <xf numFmtId="165" fontId="1" fillId="0" borderId="26" xfId="2" applyNumberFormat="1" applyBorder="1" applyAlignment="1">
      <alignment horizontal="center" vertical="center"/>
    </xf>
    <xf numFmtId="165" fontId="1" fillId="0" borderId="20" xfId="2" applyNumberFormat="1" applyBorder="1" applyAlignment="1">
      <alignment horizontal="center" vertical="center"/>
    </xf>
    <xf numFmtId="165" fontId="1" fillId="0" borderId="0" xfId="2" applyNumberFormat="1" applyAlignment="1">
      <alignment horizontal="center" vertical="center"/>
    </xf>
    <xf numFmtId="165" fontId="1" fillId="0" borderId="21" xfId="2" applyNumberFormat="1" applyBorder="1" applyAlignment="1">
      <alignment horizontal="center" vertical="center"/>
    </xf>
    <xf numFmtId="165" fontId="1" fillId="0" borderId="30" xfId="2" applyNumberFormat="1" applyBorder="1" applyAlignment="1">
      <alignment horizontal="center" vertical="center"/>
    </xf>
    <xf numFmtId="165" fontId="1" fillId="0" borderId="31" xfId="2" applyNumberFormat="1" applyBorder="1" applyAlignment="1">
      <alignment horizontal="center" vertical="center"/>
    </xf>
    <xf numFmtId="165" fontId="1" fillId="0" borderId="32" xfId="2" applyNumberFormat="1" applyBorder="1" applyAlignment="1">
      <alignment horizontal="center" vertical="center"/>
    </xf>
    <xf numFmtId="0" fontId="1" fillId="0" borderId="9" xfId="2" applyBorder="1" applyAlignment="1">
      <alignment horizontal="center" vertical="center"/>
    </xf>
    <xf numFmtId="0" fontId="1" fillId="0" borderId="22" xfId="2" applyBorder="1" applyAlignment="1">
      <alignment horizontal="center" vertical="center"/>
    </xf>
    <xf numFmtId="0" fontId="1" fillId="0" borderId="5" xfId="2" applyBorder="1" applyAlignment="1">
      <alignment horizontal="center" vertical="center"/>
    </xf>
    <xf numFmtId="0" fontId="1" fillId="0" borderId="8" xfId="2" applyBorder="1" applyAlignment="1">
      <alignment horizontal="center" vertical="center"/>
    </xf>
    <xf numFmtId="0" fontId="1" fillId="0" borderId="6" xfId="2" applyBorder="1" applyAlignment="1">
      <alignment horizontal="center" vertical="center"/>
    </xf>
    <xf numFmtId="0" fontId="4" fillId="0" borderId="9" xfId="2" applyFont="1" applyBorder="1" applyAlignment="1">
      <alignment horizontal="center" vertical="center"/>
    </xf>
    <xf numFmtId="0" fontId="4" fillId="0" borderId="2" xfId="2" applyFont="1" applyBorder="1" applyAlignment="1">
      <alignment horizontal="center" vertical="center"/>
    </xf>
    <xf numFmtId="165" fontId="1" fillId="0" borderId="9" xfId="2" applyNumberFormat="1" applyBorder="1" applyAlignment="1" applyProtection="1">
      <alignment horizontal="center" vertical="center"/>
      <protection locked="0"/>
    </xf>
    <xf numFmtId="165" fontId="1" fillId="0" borderId="2" xfId="2" applyNumberFormat="1" applyBorder="1" applyAlignment="1" applyProtection="1">
      <alignment horizontal="center" vertical="center"/>
      <protection locked="0"/>
    </xf>
    <xf numFmtId="165" fontId="1" fillId="0" borderId="22" xfId="2" applyNumberFormat="1" applyBorder="1" applyAlignment="1" applyProtection="1">
      <alignment horizontal="center" vertical="center"/>
      <protection locked="0"/>
    </xf>
    <xf numFmtId="0" fontId="1" fillId="0" borderId="9" xfId="2" applyBorder="1" applyAlignment="1" applyProtection="1">
      <alignment horizontal="center" vertical="center"/>
      <protection locked="0"/>
    </xf>
    <xf numFmtId="0" fontId="1" fillId="0" borderId="22" xfId="2" applyBorder="1" applyAlignment="1" applyProtection="1">
      <alignment horizontal="center" vertical="center"/>
      <protection locked="0"/>
    </xf>
    <xf numFmtId="165" fontId="1" fillId="0" borderId="9" xfId="2" applyNumberFormat="1" applyBorder="1" applyAlignment="1">
      <alignment horizontal="center" vertical="center"/>
    </xf>
    <xf numFmtId="165" fontId="1" fillId="0" borderId="2" xfId="2" applyNumberFormat="1" applyBorder="1" applyAlignment="1">
      <alignment horizontal="center" vertical="center"/>
    </xf>
    <xf numFmtId="165" fontId="1" fillId="0" borderId="22" xfId="2" applyNumberFormat="1" applyBorder="1" applyAlignment="1">
      <alignment horizontal="center" vertical="center"/>
    </xf>
    <xf numFmtId="0" fontId="1" fillId="0" borderId="0" xfId="2" applyAlignment="1" applyProtection="1">
      <alignment horizontal="center" vertical="center" wrapText="1"/>
      <protection locked="0"/>
    </xf>
    <xf numFmtId="0" fontId="1" fillId="0" borderId="2" xfId="2" applyBorder="1" applyAlignment="1" applyProtection="1">
      <alignment horizontal="left"/>
      <protection locked="0"/>
    </xf>
    <xf numFmtId="0" fontId="11" fillId="0" borderId="8" xfId="2" applyFont="1" applyBorder="1" applyAlignment="1" applyProtection="1">
      <alignment horizontal="left" vertical="center" wrapText="1"/>
      <protection locked="0"/>
    </xf>
    <xf numFmtId="0" fontId="1" fillId="0" borderId="10" xfId="2" applyBorder="1" applyAlignment="1">
      <alignment horizontal="center" vertical="center"/>
    </xf>
    <xf numFmtId="0" fontId="1" fillId="0" borderId="2" xfId="2" applyBorder="1" applyAlignment="1">
      <alignment horizontal="center" vertical="center"/>
    </xf>
    <xf numFmtId="0" fontId="3" fillId="0" borderId="8" xfId="2" applyFont="1" applyBorder="1" applyAlignment="1" applyProtection="1">
      <alignment horizontal="center" vertical="center"/>
      <protection locked="0"/>
    </xf>
    <xf numFmtId="0" fontId="3" fillId="0" borderId="0" xfId="2" applyFont="1" applyAlignment="1" applyProtection="1">
      <alignment horizontal="center"/>
      <protection locked="0"/>
    </xf>
    <xf numFmtId="0" fontId="3" fillId="0" borderId="0" xfId="2" applyFont="1" applyAlignment="1" applyProtection="1">
      <alignment horizontal="center" vertical="center" wrapText="1"/>
      <protection locked="0"/>
    </xf>
    <xf numFmtId="0" fontId="3" fillId="0" borderId="2" xfId="2" applyFont="1" applyBorder="1" applyAlignment="1" applyProtection="1">
      <alignment horizontal="center" vertical="center" wrapText="1"/>
      <protection locked="0"/>
    </xf>
    <xf numFmtId="0" fontId="3" fillId="0" borderId="0" xfId="2" applyFont="1" applyAlignment="1" applyProtection="1">
      <alignment horizontal="center" vertical="center"/>
      <protection locked="0"/>
    </xf>
    <xf numFmtId="0" fontId="1" fillId="0" borderId="2" xfId="2" applyBorder="1" applyAlignment="1" applyProtection="1">
      <alignment horizontal="center"/>
      <protection locked="0"/>
    </xf>
    <xf numFmtId="0" fontId="3" fillId="0" borderId="0" xfId="2" applyFont="1" applyAlignment="1" applyProtection="1">
      <alignment horizontal="right"/>
      <protection locked="0"/>
    </xf>
    <xf numFmtId="0" fontId="3" fillId="0" borderId="0" xfId="2" applyFont="1" applyAlignment="1" applyProtection="1">
      <alignment horizontal="right" vertical="center"/>
      <protection locked="0"/>
    </xf>
    <xf numFmtId="0" fontId="1" fillId="0" borderId="1" xfId="2" applyBorder="1" applyAlignment="1" applyProtection="1">
      <alignment horizontal="center" vertical="center"/>
      <protection locked="0"/>
    </xf>
    <xf numFmtId="0" fontId="7" fillId="0" borderId="4" xfId="2" applyFont="1" applyBorder="1" applyAlignment="1" applyProtection="1">
      <alignment horizontal="center" vertical="center" wrapText="1"/>
      <protection locked="0"/>
    </xf>
    <xf numFmtId="0" fontId="7" fillId="0" borderId="4" xfId="2" applyFont="1" applyBorder="1" applyAlignment="1" applyProtection="1">
      <alignment horizontal="center" vertical="center"/>
      <protection locked="0"/>
    </xf>
    <xf numFmtId="0" fontId="1" fillId="0" borderId="4" xfId="2" applyBorder="1" applyAlignment="1" applyProtection="1">
      <alignment horizontal="center" vertical="center"/>
      <protection locked="0"/>
    </xf>
    <xf numFmtId="0" fontId="11" fillId="0" borderId="4" xfId="2" applyFont="1" applyBorder="1" applyAlignment="1" applyProtection="1">
      <alignment horizontal="right" vertical="center"/>
      <protection locked="0"/>
    </xf>
    <xf numFmtId="165" fontId="1" fillId="0" borderId="4" xfId="2" applyNumberFormat="1" applyBorder="1" applyAlignment="1" applyProtection="1">
      <alignment horizontal="center" vertical="center"/>
      <protection locked="0"/>
    </xf>
    <xf numFmtId="0" fontId="7" fillId="4" borderId="4" xfId="2" applyFont="1" applyFill="1" applyBorder="1" applyAlignment="1" applyProtection="1">
      <alignment horizontal="left" vertical="center"/>
      <protection locked="0"/>
    </xf>
    <xf numFmtId="0" fontId="9" fillId="4" borderId="20" xfId="2" applyFont="1" applyFill="1" applyBorder="1" applyAlignment="1" applyProtection="1">
      <alignment horizontal="left" vertical="center"/>
      <protection locked="0"/>
    </xf>
    <xf numFmtId="0" fontId="9" fillId="4" borderId="0" xfId="2" applyFont="1" applyFill="1" applyAlignment="1" applyProtection="1">
      <alignment horizontal="left" vertical="center"/>
      <protection locked="0"/>
    </xf>
    <xf numFmtId="0" fontId="9" fillId="4" borderId="0" xfId="2" applyFont="1" applyFill="1" applyAlignment="1" applyProtection="1">
      <alignment vertical="center"/>
      <protection locked="0"/>
    </xf>
    <xf numFmtId="0" fontId="11" fillId="0" borderId="7" xfId="2" applyFont="1" applyBorder="1" applyAlignment="1" applyProtection="1">
      <alignment horizontal="center" vertical="center"/>
      <protection locked="0"/>
    </xf>
    <xf numFmtId="0" fontId="11" fillId="0" borderId="1" xfId="2" applyFont="1" applyBorder="1" applyAlignment="1" applyProtection="1">
      <alignment horizontal="center" vertical="center"/>
      <protection locked="0"/>
    </xf>
    <xf numFmtId="0" fontId="11" fillId="0" borderId="3" xfId="2" applyFont="1" applyBorder="1" applyAlignment="1" applyProtection="1">
      <alignment horizontal="center" vertical="center"/>
      <protection locked="0"/>
    </xf>
    <xf numFmtId="0" fontId="10" fillId="3" borderId="4" xfId="2" applyFont="1" applyFill="1" applyBorder="1" applyAlignment="1" applyProtection="1">
      <alignment horizontal="left" vertical="center"/>
      <protection locked="0"/>
    </xf>
    <xf numFmtId="0" fontId="5" fillId="4" borderId="7" xfId="2" applyFont="1" applyFill="1" applyBorder="1" applyAlignment="1" applyProtection="1">
      <alignment horizontal="left" vertical="center" wrapText="1"/>
      <protection locked="0"/>
    </xf>
    <xf numFmtId="0" fontId="5" fillId="4" borderId="1" xfId="2" applyFont="1" applyFill="1" applyBorder="1" applyAlignment="1" applyProtection="1">
      <alignment horizontal="left" vertical="center" wrapText="1"/>
      <protection locked="0"/>
    </xf>
    <xf numFmtId="0" fontId="5" fillId="4" borderId="3" xfId="2" applyFont="1" applyFill="1" applyBorder="1" applyAlignment="1" applyProtection="1">
      <alignment horizontal="left" vertical="center" wrapText="1"/>
      <protection locked="0"/>
    </xf>
    <xf numFmtId="0" fontId="11" fillId="4" borderId="20" xfId="2" applyFont="1" applyFill="1" applyBorder="1" applyAlignment="1" applyProtection="1">
      <alignment horizontal="justify" vertical="center" wrapText="1"/>
      <protection locked="0"/>
    </xf>
    <xf numFmtId="0" fontId="11" fillId="4" borderId="0" xfId="2" applyFont="1" applyFill="1" applyAlignment="1" applyProtection="1">
      <alignment horizontal="justify" vertical="center" wrapText="1"/>
      <protection locked="0"/>
    </xf>
    <xf numFmtId="0" fontId="11" fillId="0" borderId="0" xfId="2" applyFont="1" applyAlignment="1" applyProtection="1">
      <alignment horizontal="justify" vertical="center" wrapText="1"/>
      <protection locked="0"/>
    </xf>
    <xf numFmtId="0" fontId="1" fillId="7" borderId="5" xfId="2" applyFill="1" applyBorder="1" applyAlignment="1" applyProtection="1">
      <alignment horizontal="center" vertical="center" wrapText="1"/>
      <protection locked="0"/>
    </xf>
    <xf numFmtId="0" fontId="1" fillId="7" borderId="8" xfId="2" applyFill="1" applyBorder="1" applyAlignment="1" applyProtection="1">
      <alignment horizontal="center" vertical="center" wrapText="1"/>
      <protection locked="0"/>
    </xf>
    <xf numFmtId="0" fontId="1" fillId="7" borderId="6" xfId="2" applyFill="1" applyBorder="1" applyAlignment="1" applyProtection="1">
      <alignment horizontal="center" vertical="center" wrapText="1"/>
      <protection locked="0"/>
    </xf>
    <xf numFmtId="0" fontId="1" fillId="7" borderId="20" xfId="2" applyFill="1" applyBorder="1" applyAlignment="1" applyProtection="1">
      <alignment horizontal="center" vertical="center" wrapText="1"/>
      <protection locked="0"/>
    </xf>
    <xf numFmtId="0" fontId="1" fillId="7" borderId="0" xfId="2" applyFill="1" applyAlignment="1" applyProtection="1">
      <alignment horizontal="center" vertical="center" wrapText="1"/>
      <protection locked="0"/>
    </xf>
    <xf numFmtId="0" fontId="1" fillId="7" borderId="21" xfId="2" applyFill="1" applyBorder="1" applyAlignment="1" applyProtection="1">
      <alignment horizontal="center" vertical="center" wrapText="1"/>
      <protection locked="0"/>
    </xf>
    <xf numFmtId="0" fontId="5" fillId="7" borderId="5" xfId="2" applyFont="1" applyFill="1" applyBorder="1" applyAlignment="1" applyProtection="1">
      <alignment horizontal="center" vertical="center"/>
      <protection locked="0"/>
    </xf>
    <xf numFmtId="0" fontId="5" fillId="7" borderId="8" xfId="2" applyFont="1" applyFill="1" applyBorder="1" applyAlignment="1" applyProtection="1">
      <alignment horizontal="center" vertical="center"/>
      <protection locked="0"/>
    </xf>
    <xf numFmtId="0" fontId="5" fillId="7" borderId="6" xfId="2" applyFont="1" applyFill="1" applyBorder="1" applyAlignment="1" applyProtection="1">
      <alignment horizontal="center" vertical="center"/>
      <protection locked="0"/>
    </xf>
    <xf numFmtId="0" fontId="5" fillId="7" borderId="20" xfId="2" applyFont="1" applyFill="1" applyBorder="1" applyAlignment="1" applyProtection="1">
      <alignment horizontal="center" vertical="center"/>
      <protection locked="0"/>
    </xf>
    <xf numFmtId="0" fontId="5" fillId="7" borderId="0" xfId="2" applyFont="1" applyFill="1" applyAlignment="1" applyProtection="1">
      <alignment horizontal="center" vertical="center"/>
      <protection locked="0"/>
    </xf>
    <xf numFmtId="0" fontId="5" fillId="7" borderId="21" xfId="2" applyFont="1" applyFill="1" applyBorder="1" applyAlignment="1" applyProtection="1">
      <alignment horizontal="center" vertical="center"/>
      <protection locked="0"/>
    </xf>
    <xf numFmtId="0" fontId="11" fillId="7" borderId="5" xfId="2" applyFont="1" applyFill="1" applyBorder="1" applyAlignment="1" applyProtection="1">
      <alignment horizontal="center" vertical="center" wrapText="1"/>
      <protection locked="0"/>
    </xf>
    <xf numFmtId="0" fontId="11" fillId="7" borderId="8" xfId="2" applyFont="1" applyFill="1" applyBorder="1" applyAlignment="1" applyProtection="1">
      <alignment horizontal="center" vertical="center" wrapText="1"/>
      <protection locked="0"/>
    </xf>
    <xf numFmtId="0" fontId="11" fillId="7" borderId="20" xfId="2" applyFont="1" applyFill="1" applyBorder="1" applyAlignment="1" applyProtection="1">
      <alignment horizontal="center" vertical="center" wrapText="1"/>
      <protection locked="0"/>
    </xf>
    <xf numFmtId="0" fontId="11" fillId="7" borderId="0" xfId="2" applyFont="1" applyFill="1" applyAlignment="1" applyProtection="1">
      <alignment horizontal="center" vertical="center" wrapText="1"/>
      <protection locked="0"/>
    </xf>
    <xf numFmtId="0" fontId="1" fillId="7" borderId="5" xfId="2" applyFill="1" applyBorder="1" applyAlignment="1" applyProtection="1">
      <alignment horizontal="center" vertical="center"/>
      <protection locked="0"/>
    </xf>
    <xf numFmtId="0" fontId="1" fillId="7" borderId="8" xfId="2" applyFill="1" applyBorder="1" applyAlignment="1" applyProtection="1">
      <alignment horizontal="center" vertical="center"/>
      <protection locked="0"/>
    </xf>
    <xf numFmtId="0" fontId="1" fillId="7" borderId="6" xfId="2" applyFill="1" applyBorder="1" applyAlignment="1" applyProtection="1">
      <alignment horizontal="center" vertical="center"/>
      <protection locked="0"/>
    </xf>
    <xf numFmtId="0" fontId="1" fillId="0" borderId="5" xfId="2" applyBorder="1" applyAlignment="1" applyProtection="1">
      <alignment horizontal="center" vertical="center" wrapText="1"/>
      <protection locked="0"/>
    </xf>
    <xf numFmtId="0" fontId="1" fillId="0" borderId="8" xfId="2" applyBorder="1" applyAlignment="1" applyProtection="1">
      <alignment horizontal="center" vertical="center" wrapText="1"/>
      <protection locked="0"/>
    </xf>
    <xf numFmtId="0" fontId="1" fillId="0" borderId="6" xfId="2" applyBorder="1" applyAlignment="1" applyProtection="1">
      <alignment horizontal="center" vertical="center" wrapText="1"/>
      <protection locked="0"/>
    </xf>
    <xf numFmtId="0" fontId="1" fillId="7" borderId="30" xfId="2" applyFill="1" applyBorder="1" applyAlignment="1" applyProtection="1">
      <alignment horizontal="center" vertical="center" wrapText="1"/>
      <protection locked="0"/>
    </xf>
    <xf numFmtId="0" fontId="1" fillId="7" borderId="31" xfId="2" applyFill="1" applyBorder="1" applyAlignment="1" applyProtection="1">
      <alignment horizontal="center" vertical="center" wrapText="1"/>
      <protection locked="0"/>
    </xf>
    <xf numFmtId="0" fontId="1" fillId="7" borderId="32" xfId="2" applyFill="1" applyBorder="1" applyAlignment="1" applyProtection="1">
      <alignment horizontal="center" vertical="center" wrapText="1"/>
      <protection locked="0"/>
    </xf>
    <xf numFmtId="0" fontId="1" fillId="0" borderId="20" xfId="2" applyBorder="1" applyAlignment="1" applyProtection="1">
      <alignment horizontal="center" vertical="center" wrapText="1"/>
      <protection locked="0"/>
    </xf>
    <xf numFmtId="0" fontId="1" fillId="0" borderId="21" xfId="2" applyBorder="1" applyAlignment="1" applyProtection="1">
      <alignment horizontal="center" vertical="center" wrapText="1"/>
      <protection locked="0"/>
    </xf>
    <xf numFmtId="0" fontId="1" fillId="0" borderId="30" xfId="2" applyBorder="1" applyAlignment="1" applyProtection="1">
      <alignment horizontal="center" vertical="center" wrapText="1"/>
      <protection locked="0"/>
    </xf>
    <xf numFmtId="0" fontId="1" fillId="0" borderId="31" xfId="2" applyBorder="1" applyAlignment="1" applyProtection="1">
      <alignment horizontal="center" vertical="center" wrapText="1"/>
      <protection locked="0"/>
    </xf>
    <xf numFmtId="0" fontId="1" fillId="0" borderId="32" xfId="2" applyBorder="1" applyAlignment="1" applyProtection="1">
      <alignment horizontal="center" vertical="center" wrapText="1"/>
      <protection locked="0"/>
    </xf>
    <xf numFmtId="0" fontId="1" fillId="4" borderId="7" xfId="2" applyFill="1" applyBorder="1" applyAlignment="1" applyProtection="1">
      <alignment horizontal="left" vertical="center" wrapText="1"/>
      <protection locked="0"/>
    </xf>
    <xf numFmtId="0" fontId="1" fillId="4" borderId="1" xfId="2" applyFill="1" applyBorder="1" applyAlignment="1" applyProtection="1">
      <alignment horizontal="left" vertical="center" wrapText="1"/>
      <protection locked="0"/>
    </xf>
    <xf numFmtId="0" fontId="1" fillId="4" borderId="3" xfId="2" applyFill="1" applyBorder="1" applyAlignment="1" applyProtection="1">
      <alignment horizontal="left" vertical="center" wrapText="1"/>
      <protection locked="0"/>
    </xf>
    <xf numFmtId="0" fontId="1" fillId="0" borderId="4" xfId="2" applyBorder="1" applyAlignment="1" applyProtection="1">
      <alignment horizontal="center" vertical="center" wrapText="1"/>
      <protection locked="0"/>
    </xf>
    <xf numFmtId="0" fontId="1" fillId="0" borderId="17" xfId="2" applyBorder="1" applyAlignment="1" applyProtection="1">
      <alignment horizontal="center" vertical="center" wrapText="1"/>
      <protection locked="0"/>
    </xf>
    <xf numFmtId="0" fontId="2" fillId="0" borderId="4" xfId="2" applyFont="1" applyBorder="1" applyAlignment="1" applyProtection="1">
      <alignment horizontal="center" vertical="center" wrapText="1"/>
      <protection locked="0"/>
    </xf>
    <xf numFmtId="0" fontId="1" fillId="7" borderId="9" xfId="2" applyFill="1" applyBorder="1" applyAlignment="1" applyProtection="1">
      <alignment horizontal="center" vertical="center"/>
      <protection locked="0"/>
    </xf>
    <xf numFmtId="0" fontId="1" fillId="7" borderId="2" xfId="2" applyFill="1" applyBorder="1" applyAlignment="1" applyProtection="1">
      <alignment horizontal="center" vertical="center"/>
      <protection locked="0"/>
    </xf>
    <xf numFmtId="0" fontId="1" fillId="7" borderId="22" xfId="2" applyFill="1" applyBorder="1" applyAlignment="1" applyProtection="1">
      <alignment horizontal="center" vertical="center"/>
      <protection locked="0"/>
    </xf>
    <xf numFmtId="0" fontId="1" fillId="0" borderId="9" xfId="2" applyBorder="1" applyAlignment="1" applyProtection="1">
      <alignment horizontal="center" vertical="center" wrapText="1"/>
      <protection locked="0"/>
    </xf>
    <xf numFmtId="0" fontId="1" fillId="0" borderId="2" xfId="2" applyBorder="1" applyAlignment="1" applyProtection="1">
      <alignment horizontal="center" vertical="center" wrapText="1"/>
      <protection locked="0"/>
    </xf>
    <xf numFmtId="0" fontId="1" fillId="0" borderId="22" xfId="2" applyBorder="1" applyAlignment="1" applyProtection="1">
      <alignment horizontal="center" vertical="center" wrapText="1"/>
      <protection locked="0"/>
    </xf>
    <xf numFmtId="0" fontId="1" fillId="0" borderId="5" xfId="2" applyBorder="1" applyAlignment="1" applyProtection="1">
      <alignment horizontal="center" vertical="center"/>
      <protection locked="0"/>
    </xf>
    <xf numFmtId="0" fontId="1" fillId="0" borderId="6" xfId="2" applyBorder="1" applyAlignment="1" applyProtection="1">
      <alignment horizontal="center" vertical="center"/>
      <protection locked="0"/>
    </xf>
    <xf numFmtId="0" fontId="5" fillId="0" borderId="5" xfId="2" applyFont="1" applyBorder="1" applyAlignment="1" applyProtection="1">
      <alignment horizontal="center" vertical="center" wrapText="1"/>
      <protection locked="0"/>
    </xf>
    <xf numFmtId="0" fontId="5" fillId="0" borderId="8" xfId="2" applyFont="1" applyBorder="1" applyAlignment="1" applyProtection="1">
      <alignment horizontal="center" vertical="center" wrapText="1"/>
      <protection locked="0"/>
    </xf>
    <xf numFmtId="0" fontId="5" fillId="0" borderId="6" xfId="2" applyFont="1" applyBorder="1" applyAlignment="1" applyProtection="1">
      <alignment horizontal="center" vertical="center" wrapText="1"/>
      <protection locked="0"/>
    </xf>
    <xf numFmtId="0" fontId="5" fillId="0" borderId="20" xfId="2" applyFont="1" applyBorder="1" applyAlignment="1" applyProtection="1">
      <alignment horizontal="center" vertical="center" wrapText="1"/>
      <protection locked="0"/>
    </xf>
    <xf numFmtId="0" fontId="5" fillId="0" borderId="0" xfId="2" applyFont="1" applyAlignment="1" applyProtection="1">
      <alignment horizontal="center" vertical="center" wrapText="1"/>
      <protection locked="0"/>
    </xf>
    <xf numFmtId="0" fontId="5" fillId="0" borderId="21" xfId="2" applyFont="1" applyBorder="1" applyAlignment="1" applyProtection="1">
      <alignment horizontal="center" vertical="center" wrapText="1"/>
      <protection locked="0"/>
    </xf>
    <xf numFmtId="0" fontId="19" fillId="0" borderId="17" xfId="2" applyFont="1" applyBorder="1" applyAlignment="1" applyProtection="1">
      <alignment horizontal="center" vertical="center" wrapText="1"/>
      <protection locked="0"/>
    </xf>
    <xf numFmtId="0" fontId="19" fillId="0" borderId="19" xfId="2" applyFont="1" applyBorder="1" applyAlignment="1" applyProtection="1">
      <alignment horizontal="center" vertical="center" wrapText="1"/>
      <protection locked="0"/>
    </xf>
    <xf numFmtId="0" fontId="11" fillId="0" borderId="17" xfId="2" applyFont="1" applyBorder="1" applyAlignment="1" applyProtection="1">
      <alignment horizontal="center" vertical="center" wrapText="1"/>
      <protection locked="0"/>
    </xf>
    <xf numFmtId="0" fontId="11" fillId="0" borderId="19" xfId="2" applyFont="1" applyBorder="1" applyAlignment="1" applyProtection="1">
      <alignment horizontal="center" vertical="center" wrapText="1"/>
      <protection locked="0"/>
    </xf>
    <xf numFmtId="0" fontId="1" fillId="0" borderId="15" xfId="2" applyBorder="1" applyAlignment="1" applyProtection="1">
      <alignment vertical="center"/>
      <protection locked="0"/>
    </xf>
    <xf numFmtId="0" fontId="1" fillId="0" borderId="15" xfId="2" applyBorder="1" applyAlignment="1" applyProtection="1">
      <alignment horizontal="left" vertical="center"/>
      <protection locked="0"/>
    </xf>
    <xf numFmtId="0" fontId="1" fillId="0" borderId="15" xfId="2" applyBorder="1" applyAlignment="1" applyProtection="1">
      <alignment horizontal="center" vertical="center"/>
      <protection locked="0"/>
    </xf>
    <xf numFmtId="165" fontId="1" fillId="0" borderId="23" xfId="2" applyNumberFormat="1" applyBorder="1" applyAlignment="1" applyProtection="1">
      <alignment horizontal="center" vertical="center"/>
      <protection locked="0"/>
    </xf>
    <xf numFmtId="165" fontId="1" fillId="0" borderId="24" xfId="2" applyNumberFormat="1" applyBorder="1" applyAlignment="1" applyProtection="1">
      <alignment horizontal="center" vertical="center"/>
      <protection locked="0"/>
    </xf>
    <xf numFmtId="165" fontId="1" fillId="0" borderId="33" xfId="2" applyNumberFormat="1" applyBorder="1" applyAlignment="1" applyProtection="1">
      <alignment horizontal="center" vertical="center"/>
      <protection locked="0"/>
    </xf>
    <xf numFmtId="165" fontId="1" fillId="0" borderId="15" xfId="2" applyNumberFormat="1" applyBorder="1" applyAlignment="1">
      <alignment horizontal="center" vertical="center"/>
    </xf>
    <xf numFmtId="0" fontId="1" fillId="0" borderId="15" xfId="2" applyBorder="1" applyAlignment="1">
      <alignment horizontal="center" vertical="center"/>
    </xf>
    <xf numFmtId="0" fontId="1" fillId="0" borderId="23" xfId="2" applyBorder="1" applyAlignment="1">
      <alignment vertical="center"/>
    </xf>
    <xf numFmtId="0" fontId="1" fillId="0" borderId="33" xfId="2" applyBorder="1" applyAlignment="1">
      <alignment vertical="center"/>
    </xf>
    <xf numFmtId="165" fontId="1" fillId="0" borderId="10" xfId="2" applyNumberFormat="1" applyBorder="1" applyAlignment="1" applyProtection="1">
      <alignment horizontal="center" vertical="center"/>
      <protection locked="0"/>
    </xf>
    <xf numFmtId="165" fontId="1" fillId="0" borderId="10" xfId="2" applyNumberFormat="1" applyBorder="1" applyAlignment="1">
      <alignment horizontal="center" vertical="center"/>
    </xf>
    <xf numFmtId="0" fontId="1" fillId="0" borderId="4" xfId="2" applyBorder="1" applyAlignment="1" applyProtection="1">
      <alignment vertical="center"/>
      <protection locked="0"/>
    </xf>
    <xf numFmtId="0" fontId="1" fillId="0" borderId="4" xfId="2" applyBorder="1" applyAlignment="1" applyProtection="1">
      <alignment horizontal="left" vertical="center"/>
      <protection locked="0"/>
    </xf>
    <xf numFmtId="165" fontId="1" fillId="0" borderId="7" xfId="2" applyNumberFormat="1" applyBorder="1" applyAlignment="1" applyProtection="1">
      <alignment horizontal="center" vertical="center"/>
      <protection locked="0"/>
    </xf>
    <xf numFmtId="165" fontId="1" fillId="0" borderId="1" xfId="2" applyNumberFormat="1" applyBorder="1" applyAlignment="1" applyProtection="1">
      <alignment horizontal="center" vertical="center"/>
      <protection locked="0"/>
    </xf>
    <xf numFmtId="165" fontId="1" fillId="0" borderId="3" xfId="2" applyNumberFormat="1" applyBorder="1" applyAlignment="1" applyProtection="1">
      <alignment horizontal="center" vertical="center"/>
      <protection locked="0"/>
    </xf>
    <xf numFmtId="165" fontId="1" fillId="0" borderId="7" xfId="2" applyNumberFormat="1" applyBorder="1" applyAlignment="1">
      <alignment horizontal="center" vertical="center"/>
    </xf>
    <xf numFmtId="165" fontId="1" fillId="0" borderId="1" xfId="2" applyNumberFormat="1" applyBorder="1" applyAlignment="1">
      <alignment horizontal="center" vertical="center"/>
    </xf>
    <xf numFmtId="165" fontId="1" fillId="0" borderId="3" xfId="2" applyNumberFormat="1" applyBorder="1" applyAlignment="1">
      <alignment horizontal="center" vertical="center"/>
    </xf>
    <xf numFmtId="0" fontId="1" fillId="0" borderId="4" xfId="2" applyBorder="1" applyAlignment="1">
      <alignment horizontal="center" vertical="center"/>
    </xf>
    <xf numFmtId="0" fontId="1" fillId="0" borderId="7" xfId="2" applyBorder="1" applyAlignment="1">
      <alignment vertical="center"/>
    </xf>
    <xf numFmtId="0" fontId="1" fillId="0" borderId="3" xfId="2" applyBorder="1" applyAlignment="1">
      <alignment vertical="center"/>
    </xf>
    <xf numFmtId="165" fontId="1" fillId="0" borderId="4" xfId="2" applyNumberFormat="1" applyBorder="1" applyAlignment="1">
      <alignment horizontal="center" vertical="center"/>
    </xf>
    <xf numFmtId="0" fontId="1" fillId="0" borderId="16" xfId="2" applyBorder="1" applyAlignment="1" applyProtection="1">
      <alignment vertical="center"/>
      <protection locked="0"/>
    </xf>
    <xf numFmtId="0" fontId="1" fillId="0" borderId="16" xfId="2" applyBorder="1" applyAlignment="1" applyProtection="1">
      <alignment horizontal="left" vertical="center"/>
      <protection locked="0"/>
    </xf>
    <xf numFmtId="0" fontId="1" fillId="0" borderId="16" xfId="2" applyBorder="1" applyAlignment="1" applyProtection="1">
      <alignment horizontal="center" vertical="center"/>
      <protection locked="0"/>
    </xf>
    <xf numFmtId="165" fontId="1" fillId="0" borderId="27" xfId="2" applyNumberFormat="1" applyBorder="1" applyAlignment="1" applyProtection="1">
      <alignment horizontal="center" vertical="center"/>
      <protection locked="0"/>
    </xf>
    <xf numFmtId="165" fontId="1" fillId="0" borderId="28" xfId="2" applyNumberFormat="1" applyBorder="1" applyAlignment="1" applyProtection="1">
      <alignment horizontal="center" vertical="center"/>
      <protection locked="0"/>
    </xf>
    <xf numFmtId="165" fontId="1" fillId="0" borderId="29" xfId="2" applyNumberFormat="1" applyBorder="1" applyAlignment="1" applyProtection="1">
      <alignment horizontal="center" vertical="center"/>
      <protection locked="0"/>
    </xf>
    <xf numFmtId="165" fontId="1" fillId="0" borderId="27" xfId="2" applyNumberFormat="1" applyBorder="1" applyAlignment="1">
      <alignment horizontal="center" vertical="center"/>
    </xf>
    <xf numFmtId="165" fontId="1" fillId="0" borderId="28" xfId="2" applyNumberFormat="1" applyBorder="1" applyAlignment="1">
      <alignment horizontal="center" vertical="center"/>
    </xf>
    <xf numFmtId="165" fontId="1" fillId="0" borderId="29" xfId="2" applyNumberFormat="1" applyBorder="1" applyAlignment="1">
      <alignment horizontal="center" vertical="center"/>
    </xf>
    <xf numFmtId="0" fontId="1" fillId="0" borderId="16" xfId="2" applyBorder="1" applyAlignment="1">
      <alignment horizontal="center" vertical="center"/>
    </xf>
    <xf numFmtId="0" fontId="1" fillId="0" borderId="27" xfId="2" applyBorder="1" applyAlignment="1">
      <alignment vertical="center"/>
    </xf>
    <xf numFmtId="0" fontId="1" fillId="0" borderId="29" xfId="2" applyBorder="1" applyAlignment="1">
      <alignment vertical="center"/>
    </xf>
    <xf numFmtId="165" fontId="1" fillId="0" borderId="16" xfId="2" applyNumberFormat="1" applyBorder="1" applyAlignment="1" applyProtection="1">
      <alignment horizontal="center" vertical="center"/>
      <protection locked="0"/>
    </xf>
    <xf numFmtId="165" fontId="1" fillId="0" borderId="16" xfId="2" applyNumberFormat="1" applyBorder="1" applyAlignment="1">
      <alignment horizontal="center" vertical="center"/>
    </xf>
    <xf numFmtId="0" fontId="1" fillId="0" borderId="9" xfId="2" applyBorder="1" applyAlignment="1">
      <alignment vertical="center"/>
    </xf>
    <xf numFmtId="0" fontId="1" fillId="0" borderId="22" xfId="2" applyBorder="1" applyAlignment="1">
      <alignment vertical="center"/>
    </xf>
    <xf numFmtId="0" fontId="1" fillId="0" borderId="10" xfId="2" applyBorder="1" applyAlignment="1" applyProtection="1">
      <alignment vertical="center"/>
      <protection locked="0"/>
    </xf>
    <xf numFmtId="0" fontId="1" fillId="0" borderId="10" xfId="2" applyBorder="1" applyAlignment="1" applyProtection="1">
      <alignment horizontal="left" vertical="center"/>
      <protection locked="0"/>
    </xf>
    <xf numFmtId="0" fontId="1" fillId="0" borderId="10" xfId="2" applyBorder="1" applyAlignment="1" applyProtection="1">
      <alignment horizontal="center" vertical="center"/>
      <protection locked="0"/>
    </xf>
    <xf numFmtId="165" fontId="1" fillId="0" borderId="23" xfId="2" applyNumberFormat="1" applyBorder="1" applyAlignment="1">
      <alignment horizontal="center" vertical="center"/>
    </xf>
    <xf numFmtId="165" fontId="1" fillId="0" borderId="24" xfId="2" applyNumberFormat="1" applyBorder="1" applyAlignment="1">
      <alignment horizontal="center" vertical="center"/>
    </xf>
    <xf numFmtId="165" fontId="1" fillId="0" borderId="33" xfId="2" applyNumberFormat="1" applyBorder="1" applyAlignment="1">
      <alignment horizontal="center" vertical="center"/>
    </xf>
    <xf numFmtId="0" fontId="1" fillId="0" borderId="17" xfId="2" applyBorder="1" applyAlignment="1" applyProtection="1">
      <alignment vertical="center"/>
      <protection locked="0"/>
    </xf>
    <xf numFmtId="0" fontId="1" fillId="0" borderId="17" xfId="2" applyBorder="1" applyAlignment="1" applyProtection="1">
      <alignment horizontal="left" vertical="center"/>
      <protection locked="0"/>
    </xf>
    <xf numFmtId="0" fontId="1" fillId="0" borderId="17" xfId="2" applyBorder="1" applyAlignment="1" applyProtection="1">
      <alignment horizontal="center" vertical="center"/>
      <protection locked="0"/>
    </xf>
    <xf numFmtId="165" fontId="1" fillId="0" borderId="5" xfId="2" applyNumberFormat="1" applyBorder="1" applyAlignment="1" applyProtection="1">
      <alignment horizontal="center" vertical="center"/>
      <protection locked="0"/>
    </xf>
    <xf numFmtId="165" fontId="1" fillId="0" borderId="8" xfId="2" applyNumberFormat="1" applyBorder="1" applyAlignment="1" applyProtection="1">
      <alignment horizontal="center" vertical="center"/>
      <protection locked="0"/>
    </xf>
    <xf numFmtId="165" fontId="1" fillId="0" borderId="6" xfId="2" applyNumberFormat="1" applyBorder="1" applyAlignment="1" applyProtection="1">
      <alignment horizontal="center" vertical="center"/>
      <protection locked="0"/>
    </xf>
    <xf numFmtId="0" fontId="1" fillId="0" borderId="17" xfId="2" applyBorder="1" applyAlignment="1">
      <alignment horizontal="center" vertical="center"/>
    </xf>
    <xf numFmtId="0" fontId="1" fillId="0" borderId="5" xfId="2" applyBorder="1" applyAlignment="1">
      <alignment vertical="center"/>
    </xf>
    <xf numFmtId="0" fontId="1" fillId="0" borderId="6" xfId="2" applyBorder="1" applyAlignment="1">
      <alignment vertical="center"/>
    </xf>
    <xf numFmtId="0" fontId="1" fillId="0" borderId="8" xfId="2" applyBorder="1" applyAlignment="1" applyProtection="1">
      <alignment horizontal="center" vertical="center"/>
      <protection locked="0"/>
    </xf>
    <xf numFmtId="0" fontId="1" fillId="0" borderId="2" xfId="2" applyBorder="1" applyAlignment="1" applyProtection="1">
      <alignment horizontal="left" vertical="center"/>
      <protection locked="0"/>
    </xf>
    <xf numFmtId="0" fontId="10" fillId="0" borderId="1" xfId="2" applyFont="1" applyBorder="1" applyAlignment="1" applyProtection="1">
      <alignment horizontal="center" vertical="center"/>
      <protection locked="0"/>
    </xf>
    <xf numFmtId="0" fontId="1" fillId="0" borderId="0" xfId="2" applyAlignment="1" applyProtection="1">
      <alignment horizontal="right" vertical="center"/>
      <protection locked="0"/>
    </xf>
    <xf numFmtId="0" fontId="1" fillId="0" borderId="2" xfId="2" applyBorder="1" applyAlignment="1" applyProtection="1">
      <alignment horizontal="center" vertical="center"/>
      <protection locked="0"/>
    </xf>
    <xf numFmtId="0" fontId="3" fillId="0" borderId="0" xfId="2" applyFont="1" applyAlignment="1" applyProtection="1">
      <alignment horizontal="right" vertical="center" wrapText="1"/>
      <protection locked="0"/>
    </xf>
    <xf numFmtId="0" fontId="1" fillId="0" borderId="4" xfId="2" applyBorder="1" applyAlignment="1" applyProtection="1">
      <alignment horizontal="right" vertical="center"/>
      <protection locked="0"/>
    </xf>
    <xf numFmtId="0" fontId="7" fillId="3" borderId="7" xfId="2" applyFont="1" applyFill="1" applyBorder="1" applyAlignment="1">
      <alignment horizontal="left" vertical="center"/>
    </xf>
    <xf numFmtId="0" fontId="7" fillId="3" borderId="1" xfId="2" applyFont="1" applyFill="1" applyBorder="1" applyAlignment="1">
      <alignment horizontal="left" vertical="center"/>
    </xf>
    <xf numFmtId="0" fontId="7" fillId="3" borderId="3" xfId="2" applyFont="1" applyFill="1" applyBorder="1" applyAlignment="1">
      <alignment horizontal="left" vertical="center"/>
    </xf>
    <xf numFmtId="0" fontId="1" fillId="0" borderId="0" xfId="2" applyAlignment="1" applyProtection="1">
      <alignment horizontal="left" vertical="center"/>
      <protection locked="0"/>
    </xf>
    <xf numFmtId="0" fontId="3" fillId="0" borderId="2" xfId="2" applyFont="1" applyBorder="1" applyAlignment="1" applyProtection="1">
      <alignment horizontal="center" vertical="center"/>
      <protection locked="0"/>
    </xf>
    <xf numFmtId="0" fontId="1" fillId="0" borderId="4" xfId="2" applyBorder="1" applyAlignment="1">
      <alignment vertical="center"/>
    </xf>
    <xf numFmtId="0" fontId="3" fillId="0" borderId="0" xfId="2" applyFont="1" applyAlignment="1" applyProtection="1">
      <alignment horizontal="left" vertical="center"/>
      <protection locked="0"/>
    </xf>
    <xf numFmtId="0" fontId="3" fillId="0" borderId="1" xfId="2" applyFont="1" applyBorder="1" applyAlignment="1" applyProtection="1">
      <alignment horizontal="center" vertical="center"/>
      <protection locked="0"/>
    </xf>
    <xf numFmtId="0" fontId="7" fillId="0" borderId="0" xfId="2" applyFont="1" applyAlignment="1">
      <alignment horizontal="center" vertical="center" wrapText="1"/>
    </xf>
    <xf numFmtId="0" fontId="7" fillId="0" borderId="0" xfId="2" applyFont="1" applyAlignment="1">
      <alignment horizontal="left" vertical="center" wrapText="1"/>
    </xf>
    <xf numFmtId="0" fontId="10" fillId="0" borderId="4" xfId="2" applyFont="1" applyBorder="1" applyAlignment="1">
      <alignment horizontal="center" vertical="center" wrapText="1"/>
    </xf>
    <xf numFmtId="0" fontId="7" fillId="7" borderId="4" xfId="2" applyFont="1" applyFill="1" applyBorder="1" applyAlignment="1">
      <alignment horizontal="center" vertical="center" wrapText="1"/>
    </xf>
    <xf numFmtId="0" fontId="7" fillId="0" borderId="4" xfId="2" applyFont="1" applyBorder="1" applyAlignment="1">
      <alignment horizontal="center" vertical="center"/>
    </xf>
    <xf numFmtId="0" fontId="14" fillId="7" borderId="4" xfId="2" applyFont="1" applyFill="1" applyBorder="1" applyAlignment="1">
      <alignment horizontal="center" vertical="center" wrapText="1"/>
    </xf>
    <xf numFmtId="0" fontId="7" fillId="7" borderId="4" xfId="2" applyFont="1" applyFill="1" applyBorder="1" applyAlignment="1">
      <alignment horizontal="center" vertical="center"/>
    </xf>
    <xf numFmtId="0" fontId="7" fillId="3" borderId="4" xfId="2" applyFont="1" applyFill="1" applyBorder="1" applyAlignment="1">
      <alignment horizontal="left" vertical="center"/>
    </xf>
    <xf numFmtId="0" fontId="1" fillId="3" borderId="4" xfId="2" applyFill="1" applyBorder="1" applyAlignment="1">
      <alignment horizontal="center" vertical="center"/>
    </xf>
    <xf numFmtId="0" fontId="7" fillId="0" borderId="4" xfId="2" applyFont="1" applyBorder="1" applyAlignment="1">
      <alignment horizontal="center" vertical="center" wrapText="1"/>
    </xf>
    <xf numFmtId="0" fontId="9" fillId="0" borderId="7" xfId="2" applyFont="1" applyBorder="1" applyAlignment="1">
      <alignment horizontal="center" vertical="center" wrapText="1"/>
    </xf>
    <xf numFmtId="0" fontId="9" fillId="0" borderId="1" xfId="2" applyFont="1" applyBorder="1" applyAlignment="1">
      <alignment horizontal="center" vertical="center" wrapText="1"/>
    </xf>
    <xf numFmtId="165" fontId="9" fillId="0" borderId="7" xfId="2" applyNumberFormat="1" applyFont="1" applyBorder="1" applyAlignment="1">
      <alignment horizontal="center" vertical="center" wrapText="1"/>
    </xf>
    <xf numFmtId="165" fontId="9" fillId="0" borderId="1" xfId="2" applyNumberFormat="1" applyFont="1" applyBorder="1" applyAlignment="1">
      <alignment horizontal="center" vertical="center" wrapText="1"/>
    </xf>
    <xf numFmtId="0" fontId="3" fillId="0" borderId="4" xfId="2" applyFont="1" applyBorder="1" applyAlignment="1">
      <alignment horizontal="center" vertical="center"/>
    </xf>
    <xf numFmtId="0" fontId="3" fillId="0" borderId="7" xfId="2" applyFont="1" applyBorder="1" applyAlignment="1">
      <alignment horizontal="center" vertical="center"/>
    </xf>
    <xf numFmtId="0" fontId="3" fillId="0" borderId="1" xfId="2" applyFont="1" applyBorder="1" applyAlignment="1">
      <alignment horizontal="center" vertical="center"/>
    </xf>
    <xf numFmtId="0" fontId="3" fillId="0" borderId="3" xfId="2" applyFont="1" applyBorder="1" applyAlignment="1">
      <alignment horizontal="center" vertical="center"/>
    </xf>
    <xf numFmtId="0" fontId="9" fillId="0" borderId="4" xfId="2" applyFont="1" applyBorder="1" applyAlignment="1">
      <alignment horizontal="center" vertical="center" wrapText="1"/>
    </xf>
    <xf numFmtId="0" fontId="14" fillId="0" borderId="4" xfId="2" applyFont="1" applyBorder="1" applyAlignment="1">
      <alignment horizontal="center" vertical="center" wrapText="1"/>
    </xf>
    <xf numFmtId="0" fontId="7" fillId="0" borderId="5" xfId="2" applyFont="1" applyBorder="1" applyAlignment="1">
      <alignment horizontal="left" vertical="center"/>
    </xf>
    <xf numFmtId="0" fontId="7" fillId="0" borderId="8" xfId="2" applyFont="1" applyBorder="1" applyAlignment="1">
      <alignment horizontal="left" vertical="center"/>
    </xf>
    <xf numFmtId="0" fontId="7" fillId="0" borderId="4" xfId="2" applyFont="1" applyBorder="1" applyAlignment="1">
      <alignment horizontal="left" vertical="center" wrapText="1"/>
    </xf>
    <xf numFmtId="0" fontId="7" fillId="0" borderId="4" xfId="2" applyFont="1" applyBorder="1" applyAlignment="1">
      <alignment horizontal="left" vertical="center"/>
    </xf>
  </cellXfs>
  <cellStyles count="3">
    <cellStyle name="Normal" xfId="0" builtinId="0"/>
    <cellStyle name="Normal 2" xfId="2" xr:uid="{DC82C6DB-70F7-4718-A8E1-9D591019A7AA}"/>
    <cellStyle name="Porcentaje" xfId="1" builtinId="5"/>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CC99"/>
      <color rgb="FF0083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image" Target="../media/image6.png"/><Relationship Id="rId5" Type="http://schemas.microsoft.com/office/2007/relationships/hdphoto" Target="../media/hdphoto2.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25</xdr:col>
      <xdr:colOff>0</xdr:colOff>
      <xdr:row>30</xdr:row>
      <xdr:rowOff>114300</xdr:rowOff>
    </xdr:from>
    <xdr:to>
      <xdr:col>25</xdr:col>
      <xdr:colOff>76200</xdr:colOff>
      <xdr:row>31</xdr:row>
      <xdr:rowOff>66674</xdr:rowOff>
    </xdr:to>
    <xdr:sp macro="" textlink="">
      <xdr:nvSpPr>
        <xdr:cNvPr id="7028" name="Text Box 4">
          <a:extLst>
            <a:ext uri="{FF2B5EF4-FFF2-40B4-BE49-F238E27FC236}">
              <a16:creationId xmlns:a16="http://schemas.microsoft.com/office/drawing/2014/main" id="{4BC4BD10-01C9-440E-971C-49F0B60E90E1}"/>
            </a:ext>
          </a:extLst>
        </xdr:cNvPr>
        <xdr:cNvSpPr txBox="1">
          <a:spLocks noChangeArrowheads="1"/>
        </xdr:cNvSpPr>
      </xdr:nvSpPr>
      <xdr:spPr bwMode="auto">
        <a:xfrm>
          <a:off x="3990975" y="1171575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676261</xdr:colOff>
      <xdr:row>0</xdr:row>
      <xdr:rowOff>152332</xdr:rowOff>
    </xdr:from>
    <xdr:to>
      <xdr:col>2</xdr:col>
      <xdr:colOff>1954115</xdr:colOff>
      <xdr:row>4</xdr:row>
      <xdr:rowOff>19050</xdr:rowOff>
    </xdr:to>
    <xdr:pic>
      <xdr:nvPicPr>
        <xdr:cNvPr id="7064" name="Imagen 1">
          <a:extLst>
            <a:ext uri="{FF2B5EF4-FFF2-40B4-BE49-F238E27FC236}">
              <a16:creationId xmlns:a16="http://schemas.microsoft.com/office/drawing/2014/main" id="{5F22404F-4946-4D4F-B6A6-ACF6352A356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6261" y="152332"/>
          <a:ext cx="3145875" cy="819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195884</xdr:colOff>
      <xdr:row>0</xdr:row>
      <xdr:rowOff>105733</xdr:rowOff>
    </xdr:from>
    <xdr:to>
      <xdr:col>12</xdr:col>
      <xdr:colOff>33130</xdr:colOff>
      <xdr:row>3</xdr:row>
      <xdr:rowOff>151087</xdr:rowOff>
    </xdr:to>
    <xdr:pic>
      <xdr:nvPicPr>
        <xdr:cNvPr id="2" name="Imagen 1">
          <a:extLst>
            <a:ext uri="{FF2B5EF4-FFF2-40B4-BE49-F238E27FC236}">
              <a16:creationId xmlns:a16="http://schemas.microsoft.com/office/drawing/2014/main" id="{1F82DF3E-BA1F-4F84-8B3B-32A13D925D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5884" y="105733"/>
          <a:ext cx="2024712" cy="5380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98535</xdr:colOff>
      <xdr:row>3</xdr:row>
      <xdr:rowOff>26277</xdr:rowOff>
    </xdr:from>
    <xdr:to>
      <xdr:col>26</xdr:col>
      <xdr:colOff>65690</xdr:colOff>
      <xdr:row>3</xdr:row>
      <xdr:rowOff>151087</xdr:rowOff>
    </xdr:to>
    <xdr:sp macro="" textlink="">
      <xdr:nvSpPr>
        <xdr:cNvPr id="6" name="Rectángulo 5">
          <a:extLst>
            <a:ext uri="{FF2B5EF4-FFF2-40B4-BE49-F238E27FC236}">
              <a16:creationId xmlns:a16="http://schemas.microsoft.com/office/drawing/2014/main" id="{DA7D2E1F-E520-4614-9FFC-C50A784EE0E6}"/>
            </a:ext>
          </a:extLst>
        </xdr:cNvPr>
        <xdr:cNvSpPr/>
      </xdr:nvSpPr>
      <xdr:spPr bwMode="auto">
        <a:xfrm>
          <a:off x="4834759" y="518949"/>
          <a:ext cx="164224" cy="124810"/>
        </a:xfrm>
        <a:prstGeom prst="rect">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endParaRPr lang="es-CO" sz="1000">
            <a:latin typeface="Arial" panose="020B0604020202020204" pitchFamily="34" charset="0"/>
            <a:cs typeface="Arial" panose="020B0604020202020204" pitchFamily="34" charset="0"/>
          </a:endParaRPr>
        </a:p>
      </xdr:txBody>
    </xdr:sp>
    <xdr:clientData/>
  </xdr:twoCellAnchor>
  <xdr:twoCellAnchor editAs="oneCell">
    <xdr:from>
      <xdr:col>33</xdr:col>
      <xdr:colOff>21021</xdr:colOff>
      <xdr:row>3</xdr:row>
      <xdr:rowOff>21022</xdr:rowOff>
    </xdr:from>
    <xdr:to>
      <xdr:col>34</xdr:col>
      <xdr:colOff>34159</xdr:colOff>
      <xdr:row>3</xdr:row>
      <xdr:rowOff>145832</xdr:rowOff>
    </xdr:to>
    <xdr:sp macro="" textlink="">
      <xdr:nvSpPr>
        <xdr:cNvPr id="7" name="Rectángulo 6">
          <a:extLst>
            <a:ext uri="{FF2B5EF4-FFF2-40B4-BE49-F238E27FC236}">
              <a16:creationId xmlns:a16="http://schemas.microsoft.com/office/drawing/2014/main" id="{5A19760F-C008-499B-9ABC-731A2A483FEB}"/>
            </a:ext>
          </a:extLst>
        </xdr:cNvPr>
        <xdr:cNvSpPr/>
      </xdr:nvSpPr>
      <xdr:spPr bwMode="auto">
        <a:xfrm>
          <a:off x="6386349" y="513694"/>
          <a:ext cx="164224" cy="124810"/>
        </a:xfrm>
        <a:prstGeom prst="rect">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endParaRPr lang="es-CO" sz="10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152400</xdr:colOff>
      <xdr:row>0</xdr:row>
      <xdr:rowOff>57150</xdr:rowOff>
    </xdr:from>
    <xdr:to>
      <xdr:col>13</xdr:col>
      <xdr:colOff>152400</xdr:colOff>
      <xdr:row>3</xdr:row>
      <xdr:rowOff>95250</xdr:rowOff>
    </xdr:to>
    <xdr:pic>
      <xdr:nvPicPr>
        <xdr:cNvPr id="6" name="Imagen 1">
          <a:extLst>
            <a:ext uri="{FF2B5EF4-FFF2-40B4-BE49-F238E27FC236}">
              <a16:creationId xmlns:a16="http://schemas.microsoft.com/office/drawing/2014/main" id="{366680F0-FF01-4CC7-A30E-BF17634838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57150"/>
          <a:ext cx="240982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48</xdr:col>
      <xdr:colOff>223630</xdr:colOff>
      <xdr:row>10</xdr:row>
      <xdr:rowOff>30617</xdr:rowOff>
    </xdr:from>
    <xdr:to>
      <xdr:col>64</xdr:col>
      <xdr:colOff>82826</xdr:colOff>
      <xdr:row>16</xdr:row>
      <xdr:rowOff>381850</xdr:rowOff>
    </xdr:to>
    <xdr:grpSp>
      <xdr:nvGrpSpPr>
        <xdr:cNvPr id="12" name="Grupo 11">
          <a:extLst>
            <a:ext uri="{FF2B5EF4-FFF2-40B4-BE49-F238E27FC236}">
              <a16:creationId xmlns:a16="http://schemas.microsoft.com/office/drawing/2014/main" id="{C19171C6-9CF5-4458-AB86-CAE84DD39601}"/>
            </a:ext>
          </a:extLst>
        </xdr:cNvPr>
        <xdr:cNvGrpSpPr/>
      </xdr:nvGrpSpPr>
      <xdr:grpSpPr>
        <a:xfrm>
          <a:off x="11339865" y="2305411"/>
          <a:ext cx="3826079" cy="1796792"/>
          <a:chOff x="10101603" y="2391456"/>
          <a:chExt cx="2923039" cy="1814001"/>
        </a:xfrm>
      </xdr:grpSpPr>
      <xdr:grpSp>
        <xdr:nvGrpSpPr>
          <xdr:cNvPr id="13" name="Grupo 12">
            <a:extLst>
              <a:ext uri="{FF2B5EF4-FFF2-40B4-BE49-F238E27FC236}">
                <a16:creationId xmlns:a16="http://schemas.microsoft.com/office/drawing/2014/main" id="{37E6754F-C18E-427D-95B6-3818DE799666}"/>
              </a:ext>
            </a:extLst>
          </xdr:cNvPr>
          <xdr:cNvGrpSpPr/>
        </xdr:nvGrpSpPr>
        <xdr:grpSpPr>
          <a:xfrm>
            <a:off x="10101603" y="2391456"/>
            <a:ext cx="2805626" cy="1814001"/>
            <a:chOff x="9724207" y="2357438"/>
            <a:chExt cx="2479701" cy="1738312"/>
          </a:xfrm>
        </xdr:grpSpPr>
        <xdr:pic>
          <xdr:nvPicPr>
            <xdr:cNvPr id="15" name="Imagen 14">
              <a:extLst>
                <a:ext uri="{FF2B5EF4-FFF2-40B4-BE49-F238E27FC236}">
                  <a16:creationId xmlns:a16="http://schemas.microsoft.com/office/drawing/2014/main" id="{3E4471D0-E025-4D18-9FB9-866734762CBB}"/>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Lst>
            </a:blip>
            <a:srcRect l="74165" t="52340" b="7829"/>
            <a:stretch/>
          </xdr:blipFill>
          <xdr:spPr>
            <a:xfrm>
              <a:off x="11439974" y="3232548"/>
              <a:ext cx="763934" cy="863202"/>
            </a:xfrm>
            <a:prstGeom prst="rect">
              <a:avLst/>
            </a:prstGeom>
          </xdr:spPr>
        </xdr:pic>
        <xdr:pic>
          <xdr:nvPicPr>
            <xdr:cNvPr id="16" name="Imagen 15">
              <a:extLst>
                <a:ext uri="{FF2B5EF4-FFF2-40B4-BE49-F238E27FC236}">
                  <a16:creationId xmlns:a16="http://schemas.microsoft.com/office/drawing/2014/main" id="{B09A1285-3172-4BBB-8E81-5FB9FF3FB106}"/>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Lst>
            </a:blip>
            <a:srcRect l="71567" t="4912" r="1487" b="53077"/>
            <a:stretch/>
          </xdr:blipFill>
          <xdr:spPr>
            <a:xfrm>
              <a:off x="11443668" y="2357438"/>
              <a:ext cx="755480" cy="863202"/>
            </a:xfrm>
            <a:prstGeom prst="rect">
              <a:avLst/>
            </a:prstGeom>
          </xdr:spPr>
        </xdr:pic>
        <xdr:pic>
          <xdr:nvPicPr>
            <xdr:cNvPr id="17" name="Imagen 16">
              <a:extLst>
                <a:ext uri="{FF2B5EF4-FFF2-40B4-BE49-F238E27FC236}">
                  <a16:creationId xmlns:a16="http://schemas.microsoft.com/office/drawing/2014/main" id="{E197C844-4848-40A5-ACE7-2BC44D12C3E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Lst>
            </a:blip>
            <a:srcRect t="52340" r="71926" b="4432"/>
            <a:stretch/>
          </xdr:blipFill>
          <xdr:spPr>
            <a:xfrm>
              <a:off x="9724207" y="3232548"/>
              <a:ext cx="764900" cy="863202"/>
            </a:xfrm>
            <a:prstGeom prst="rect">
              <a:avLst/>
            </a:prstGeom>
          </xdr:spPr>
        </xdr:pic>
        <xdr:pic>
          <xdr:nvPicPr>
            <xdr:cNvPr id="18" name="Imagen 17">
              <a:extLst>
                <a:ext uri="{FF2B5EF4-FFF2-40B4-BE49-F238E27FC236}">
                  <a16:creationId xmlns:a16="http://schemas.microsoft.com/office/drawing/2014/main" id="{89DB599C-B0C8-4287-A953-58757C6ECD02}"/>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Lst>
            </a:blip>
            <a:srcRect r="68238" b="57173"/>
            <a:stretch/>
          </xdr:blipFill>
          <xdr:spPr>
            <a:xfrm>
              <a:off x="9824495" y="2357438"/>
              <a:ext cx="873495" cy="863202"/>
            </a:xfrm>
            <a:prstGeom prst="rect">
              <a:avLst/>
            </a:prstGeom>
          </xdr:spPr>
        </xdr:pic>
        <xdr:pic>
          <xdr:nvPicPr>
            <xdr:cNvPr id="19" name="Imagen 18">
              <a:extLst>
                <a:ext uri="{FF2B5EF4-FFF2-40B4-BE49-F238E27FC236}">
                  <a16:creationId xmlns:a16="http://schemas.microsoft.com/office/drawing/2014/main" id="{FAFC3C72-662F-44F4-BCF6-DD4077CAB736}"/>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Lst>
            </a:blip>
            <a:srcRect l="38551" t="5542" r="35139" b="54023"/>
            <a:stretch/>
          </xdr:blipFill>
          <xdr:spPr>
            <a:xfrm>
              <a:off x="10687642" y="2357438"/>
              <a:ext cx="766374" cy="863202"/>
            </a:xfrm>
            <a:prstGeom prst="rect">
              <a:avLst/>
            </a:prstGeom>
          </xdr:spPr>
        </xdr:pic>
        <xdr:pic>
          <xdr:nvPicPr>
            <xdr:cNvPr id="20" name="Imagen 19">
              <a:extLst>
                <a:ext uri="{FF2B5EF4-FFF2-40B4-BE49-F238E27FC236}">
                  <a16:creationId xmlns:a16="http://schemas.microsoft.com/office/drawing/2014/main" id="{31B94DBE-6C8A-4923-A11E-9292E2ADF7CE}"/>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Lst>
            </a:blip>
            <a:srcRect l="34354" t="52340" r="34432" b="9821"/>
            <a:stretch/>
          </xdr:blipFill>
          <xdr:spPr>
            <a:xfrm>
              <a:off x="10478759" y="3232548"/>
              <a:ext cx="971561" cy="863202"/>
            </a:xfrm>
            <a:prstGeom prst="rect">
              <a:avLst/>
            </a:prstGeom>
          </xdr:spPr>
        </xdr:pic>
      </xdr:grpSp>
      <xdr:pic>
        <xdr:nvPicPr>
          <xdr:cNvPr id="14" name="Imagen 13">
            <a:extLst>
              <a:ext uri="{FF2B5EF4-FFF2-40B4-BE49-F238E27FC236}">
                <a16:creationId xmlns:a16="http://schemas.microsoft.com/office/drawing/2014/main" id="{DB9C7DA5-B066-44FC-9BD2-D41DFD4C6F03}"/>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Layer>
                </a14:imgProps>
              </a:ext>
            </a:extLst>
          </a:blip>
          <a:stretch>
            <a:fillRect/>
          </a:stretch>
        </xdr:blipFill>
        <xdr:spPr>
          <a:xfrm rot="5400000">
            <a:off x="12107255" y="3260002"/>
            <a:ext cx="1741705" cy="93068"/>
          </a:xfrm>
          <a:prstGeom prst="rect">
            <a:avLst/>
          </a:prstGeom>
        </xdr:spPr>
      </xdr:pic>
    </xdr:grpSp>
    <xdr:clientData/>
  </xdr:twoCellAnchor>
  <xdr:twoCellAnchor>
    <xdr:from>
      <xdr:col>35</xdr:col>
      <xdr:colOff>114300</xdr:colOff>
      <xdr:row>2</xdr:row>
      <xdr:rowOff>85725</xdr:rowOff>
    </xdr:from>
    <xdr:to>
      <xdr:col>36</xdr:col>
      <xdr:colOff>76200</xdr:colOff>
      <xdr:row>3</xdr:row>
      <xdr:rowOff>85725</xdr:rowOff>
    </xdr:to>
    <xdr:sp macro="" textlink="">
      <xdr:nvSpPr>
        <xdr:cNvPr id="21" name="Rectángulo 20">
          <a:extLst>
            <a:ext uri="{FF2B5EF4-FFF2-40B4-BE49-F238E27FC236}">
              <a16:creationId xmlns:a16="http://schemas.microsoft.com/office/drawing/2014/main" id="{DD440B03-6B79-46ED-A1BA-419D696E391A}"/>
            </a:ext>
          </a:extLst>
        </xdr:cNvPr>
        <xdr:cNvSpPr/>
      </xdr:nvSpPr>
      <xdr:spPr bwMode="auto">
        <a:xfrm>
          <a:off x="6257925" y="409575"/>
          <a:ext cx="180975" cy="161925"/>
        </a:xfrm>
        <a:prstGeom prst="rect">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s-CO" sz="1100"/>
        </a:p>
      </xdr:txBody>
    </xdr:sp>
    <xdr:clientData/>
  </xdr:twoCellAnchor>
  <xdr:twoCellAnchor>
    <xdr:from>
      <xdr:col>43</xdr:col>
      <xdr:colOff>0</xdr:colOff>
      <xdr:row>2</xdr:row>
      <xdr:rowOff>85725</xdr:rowOff>
    </xdr:from>
    <xdr:to>
      <xdr:col>43</xdr:col>
      <xdr:colOff>180975</xdr:colOff>
      <xdr:row>3</xdr:row>
      <xdr:rowOff>85725</xdr:rowOff>
    </xdr:to>
    <xdr:sp macro="" textlink="">
      <xdr:nvSpPr>
        <xdr:cNvPr id="22" name="Rectángulo 21">
          <a:extLst>
            <a:ext uri="{FF2B5EF4-FFF2-40B4-BE49-F238E27FC236}">
              <a16:creationId xmlns:a16="http://schemas.microsoft.com/office/drawing/2014/main" id="{5FFC36AA-D8BC-469C-9B79-919EBDF49FE3}"/>
            </a:ext>
          </a:extLst>
        </xdr:cNvPr>
        <xdr:cNvSpPr/>
      </xdr:nvSpPr>
      <xdr:spPr bwMode="auto">
        <a:xfrm>
          <a:off x="7600950" y="409575"/>
          <a:ext cx="180975" cy="161925"/>
        </a:xfrm>
        <a:prstGeom prst="rect">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s-CO" sz="1100"/>
        </a:p>
      </xdr:txBody>
    </xdr:sp>
    <xdr:clientData/>
  </xdr:twoCellAnchor>
  <xdr:twoCellAnchor editAs="oneCell">
    <xdr:from>
      <xdr:col>23</xdr:col>
      <xdr:colOff>28575</xdr:colOff>
      <xdr:row>10</xdr:row>
      <xdr:rowOff>76200</xdr:rowOff>
    </xdr:from>
    <xdr:to>
      <xdr:col>34</xdr:col>
      <xdr:colOff>190500</xdr:colOff>
      <xdr:row>16</xdr:row>
      <xdr:rowOff>287952</xdr:rowOff>
    </xdr:to>
    <xdr:pic>
      <xdr:nvPicPr>
        <xdr:cNvPr id="3" name="Imagen 2">
          <a:extLst>
            <a:ext uri="{FF2B5EF4-FFF2-40B4-BE49-F238E27FC236}">
              <a16:creationId xmlns:a16="http://schemas.microsoft.com/office/drawing/2014/main" id="{4AA5D1AB-D70F-4DF1-9EA8-38FA8ABDA44D}"/>
            </a:ext>
          </a:extLst>
        </xdr:cNvPr>
        <xdr:cNvPicPr>
          <a:picLocks noChangeAspect="1"/>
        </xdr:cNvPicPr>
      </xdr:nvPicPr>
      <xdr:blipFill>
        <a:blip xmlns:r="http://schemas.openxmlformats.org/officeDocument/2006/relationships" r:embed="rId6"/>
        <a:stretch>
          <a:fillRect/>
        </a:stretch>
      </xdr:blipFill>
      <xdr:spPr>
        <a:xfrm>
          <a:off x="4314825" y="2362200"/>
          <a:ext cx="2457450" cy="16690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54</xdr:col>
      <xdr:colOff>95249</xdr:colOff>
      <xdr:row>7</xdr:row>
      <xdr:rowOff>47625</xdr:rowOff>
    </xdr:from>
    <xdr:to>
      <xdr:col>55</xdr:col>
      <xdr:colOff>18074</xdr:colOff>
      <xdr:row>7</xdr:row>
      <xdr:rowOff>227625</xdr:rowOff>
    </xdr:to>
    <xdr:sp macro="" textlink="">
      <xdr:nvSpPr>
        <xdr:cNvPr id="2" name="Rectangle 24">
          <a:extLst>
            <a:ext uri="{FF2B5EF4-FFF2-40B4-BE49-F238E27FC236}">
              <a16:creationId xmlns:a16="http://schemas.microsoft.com/office/drawing/2014/main" id="{BC58CB91-1337-46E2-8E01-DEC187952625}"/>
            </a:ext>
          </a:extLst>
        </xdr:cNvPr>
        <xdr:cNvSpPr>
          <a:spLocks noChangeArrowheads="1"/>
        </xdr:cNvSpPr>
      </xdr:nvSpPr>
      <xdr:spPr bwMode="auto">
        <a:xfrm>
          <a:off x="11468099" y="1809750"/>
          <a:ext cx="180000" cy="1800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60</xdr:col>
      <xdr:colOff>219074</xdr:colOff>
      <xdr:row>7</xdr:row>
      <xdr:rowOff>47625</xdr:rowOff>
    </xdr:from>
    <xdr:to>
      <xdr:col>61</xdr:col>
      <xdr:colOff>170474</xdr:colOff>
      <xdr:row>7</xdr:row>
      <xdr:rowOff>227625</xdr:rowOff>
    </xdr:to>
    <xdr:sp macro="" textlink="">
      <xdr:nvSpPr>
        <xdr:cNvPr id="3" name="Rectangle 21">
          <a:extLst>
            <a:ext uri="{FF2B5EF4-FFF2-40B4-BE49-F238E27FC236}">
              <a16:creationId xmlns:a16="http://schemas.microsoft.com/office/drawing/2014/main" id="{2C18A782-AAFD-4841-9BB9-B8E1D0122A7B}"/>
            </a:ext>
          </a:extLst>
        </xdr:cNvPr>
        <xdr:cNvSpPr>
          <a:spLocks noChangeArrowheads="1"/>
        </xdr:cNvSpPr>
      </xdr:nvSpPr>
      <xdr:spPr bwMode="auto">
        <a:xfrm>
          <a:off x="12877799" y="1809750"/>
          <a:ext cx="180000" cy="1800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152400</xdr:colOff>
      <xdr:row>0</xdr:row>
      <xdr:rowOff>123825</xdr:rowOff>
    </xdr:from>
    <xdr:to>
      <xdr:col>11</xdr:col>
      <xdr:colOff>142875</xdr:colOff>
      <xdr:row>4</xdr:row>
      <xdr:rowOff>0</xdr:rowOff>
    </xdr:to>
    <xdr:pic>
      <xdr:nvPicPr>
        <xdr:cNvPr id="6" name="Imagen 1">
          <a:extLst>
            <a:ext uri="{FF2B5EF4-FFF2-40B4-BE49-F238E27FC236}">
              <a16:creationId xmlns:a16="http://schemas.microsoft.com/office/drawing/2014/main" id="{ED854302-3730-4689-81C1-F8EF78323D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23825"/>
          <a:ext cx="2571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66676</xdr:colOff>
      <xdr:row>25</xdr:row>
      <xdr:rowOff>76202</xdr:rowOff>
    </xdr:from>
    <xdr:to>
      <xdr:col>24</xdr:col>
      <xdr:colOff>1</xdr:colOff>
      <xdr:row>46</xdr:row>
      <xdr:rowOff>142304</xdr:rowOff>
    </xdr:to>
    <xdr:pic>
      <xdr:nvPicPr>
        <xdr:cNvPr id="7" name="Imagen 6">
          <a:extLst>
            <a:ext uri="{FF2B5EF4-FFF2-40B4-BE49-F238E27FC236}">
              <a16:creationId xmlns:a16="http://schemas.microsoft.com/office/drawing/2014/main" id="{2A6CF140-6EE5-4875-8E84-A50C946F458B}"/>
            </a:ext>
          </a:extLst>
        </xdr:cNvPr>
        <xdr:cNvPicPr>
          <a:picLocks noChangeAspect="1"/>
        </xdr:cNvPicPr>
      </xdr:nvPicPr>
      <xdr:blipFill>
        <a:blip xmlns:r="http://schemas.openxmlformats.org/officeDocument/2006/relationships" r:embed="rId2"/>
        <a:stretch>
          <a:fillRect/>
        </a:stretch>
      </xdr:blipFill>
      <xdr:spPr>
        <a:xfrm>
          <a:off x="466726" y="6486527"/>
          <a:ext cx="4743450" cy="381895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U91"/>
  <sheetViews>
    <sheetView showGridLines="0" showZeros="0" view="pageBreakPreview" zoomScale="70" zoomScaleNormal="100" zoomScaleSheetLayoutView="70" zoomScalePageLayoutView="40" workbookViewId="0">
      <selection activeCell="G10" sqref="G10:H10"/>
    </sheetView>
  </sheetViews>
  <sheetFormatPr baseColWidth="10" defaultColWidth="4" defaultRowHeight="12.95" customHeight="1" x14ac:dyDescent="0.2"/>
  <cols>
    <col min="1" max="1" width="19.7109375" style="6" customWidth="1"/>
    <col min="2" max="2" width="8.28515625" style="2" customWidth="1"/>
    <col min="3" max="3" width="30.42578125" style="2" customWidth="1"/>
    <col min="4" max="4" width="15" style="2" customWidth="1"/>
    <col min="5" max="5" width="15.28515625" style="2" customWidth="1"/>
    <col min="6" max="6" width="4.28515625" style="6" customWidth="1"/>
    <col min="7" max="7" width="12.140625" style="2" customWidth="1"/>
    <col min="8" max="8" width="12.42578125" style="2" customWidth="1"/>
    <col min="9" max="9" width="12.140625" style="2" customWidth="1"/>
    <col min="10" max="12" width="9" style="2" customWidth="1"/>
    <col min="13" max="13" width="12.140625" style="2" customWidth="1"/>
    <col min="14" max="14" width="8.140625" style="2" customWidth="1"/>
    <col min="15" max="15" width="12.140625" style="2" customWidth="1"/>
    <col min="16" max="16" width="8.140625" style="2" customWidth="1"/>
    <col min="17" max="17" width="12.140625" style="2" customWidth="1"/>
    <col min="18" max="18" width="8.140625" style="2" customWidth="1"/>
    <col min="19" max="19" width="12.140625" style="2" customWidth="1"/>
    <col min="20" max="20" width="8.140625" style="2" customWidth="1"/>
    <col min="21" max="21" width="12.140625" style="2" customWidth="1"/>
    <col min="22" max="22" width="8.140625" style="2" customWidth="1"/>
    <col min="23" max="23" width="12.140625" style="2" customWidth="1"/>
    <col min="24" max="24" width="8.140625" style="2" customWidth="1"/>
    <col min="25" max="25" width="12.5703125" style="2" customWidth="1"/>
    <col min="26" max="16384" width="4" style="2"/>
  </cols>
  <sheetData>
    <row r="1" spans="1:73" ht="18.75" customHeight="1" x14ac:dyDescent="0.2">
      <c r="A1" s="184"/>
      <c r="B1" s="185"/>
      <c r="C1" s="185"/>
      <c r="D1" s="185"/>
      <c r="E1" s="186"/>
      <c r="F1" s="218" t="s">
        <v>335</v>
      </c>
      <c r="G1" s="219"/>
      <c r="H1" s="219"/>
      <c r="I1" s="219"/>
      <c r="J1" s="219"/>
      <c r="K1" s="219"/>
      <c r="L1" s="219"/>
      <c r="M1" s="219"/>
      <c r="N1" s="219"/>
      <c r="O1" s="219"/>
      <c r="P1" s="219"/>
      <c r="Q1" s="219"/>
      <c r="R1" s="219"/>
      <c r="S1" s="220"/>
      <c r="T1" s="173" t="s">
        <v>199</v>
      </c>
      <c r="U1" s="174"/>
      <c r="V1" s="174"/>
      <c r="W1" s="175"/>
      <c r="X1" s="161"/>
      <c r="Y1" s="162"/>
    </row>
    <row r="2" spans="1:73" ht="18.75" customHeight="1" x14ac:dyDescent="0.2">
      <c r="A2" s="187"/>
      <c r="B2" s="188"/>
      <c r="C2" s="188"/>
      <c r="D2" s="188"/>
      <c r="E2" s="189"/>
      <c r="F2" s="221"/>
      <c r="G2" s="222"/>
      <c r="H2" s="222"/>
      <c r="I2" s="222"/>
      <c r="J2" s="222"/>
      <c r="K2" s="222"/>
      <c r="L2" s="222"/>
      <c r="M2" s="222"/>
      <c r="N2" s="222"/>
      <c r="O2" s="222"/>
      <c r="P2" s="222"/>
      <c r="Q2" s="222"/>
      <c r="R2" s="222"/>
      <c r="S2" s="223"/>
      <c r="T2" s="173" t="s">
        <v>299</v>
      </c>
      <c r="U2" s="174"/>
      <c r="V2" s="174"/>
      <c r="W2" s="175"/>
      <c r="X2" s="169"/>
      <c r="Y2" s="170"/>
    </row>
    <row r="3" spans="1:73" ht="18.75" customHeight="1" x14ac:dyDescent="0.2">
      <c r="A3" s="187"/>
      <c r="B3" s="188"/>
      <c r="C3" s="188"/>
      <c r="D3" s="188"/>
      <c r="E3" s="189"/>
      <c r="F3" s="221"/>
      <c r="G3" s="222"/>
      <c r="H3" s="222"/>
      <c r="I3" s="222"/>
      <c r="J3" s="222"/>
      <c r="K3" s="222"/>
      <c r="L3" s="222"/>
      <c r="M3" s="222"/>
      <c r="N3" s="222"/>
      <c r="O3" s="222"/>
      <c r="P3" s="222"/>
      <c r="Q3" s="222"/>
      <c r="R3" s="222"/>
      <c r="S3" s="223"/>
      <c r="T3" s="173" t="s">
        <v>203</v>
      </c>
      <c r="U3" s="174"/>
      <c r="V3" s="174"/>
      <c r="W3" s="175"/>
      <c r="X3" s="161"/>
      <c r="Y3" s="162"/>
    </row>
    <row r="4" spans="1:73" ht="18.75" customHeight="1" x14ac:dyDescent="0.2">
      <c r="A4" s="187"/>
      <c r="B4" s="188"/>
      <c r="C4" s="188"/>
      <c r="D4" s="188"/>
      <c r="E4" s="189"/>
      <c r="F4" s="221"/>
      <c r="G4" s="222"/>
      <c r="H4" s="222"/>
      <c r="I4" s="222"/>
      <c r="J4" s="222"/>
      <c r="K4" s="222"/>
      <c r="L4" s="222"/>
      <c r="M4" s="222"/>
      <c r="N4" s="222"/>
      <c r="O4" s="222"/>
      <c r="P4" s="222"/>
      <c r="Q4" s="222"/>
      <c r="R4" s="222"/>
      <c r="S4" s="223"/>
      <c r="T4" s="173" t="s">
        <v>200</v>
      </c>
      <c r="U4" s="174"/>
      <c r="V4" s="174"/>
      <c r="W4" s="175"/>
      <c r="X4" s="161"/>
      <c r="Y4" s="162"/>
    </row>
    <row r="5" spans="1:73" ht="18.75" customHeight="1" x14ac:dyDescent="0.2">
      <c r="A5" s="190"/>
      <c r="B5" s="191"/>
      <c r="C5" s="191"/>
      <c r="D5" s="191"/>
      <c r="E5" s="192"/>
      <c r="F5" s="224"/>
      <c r="G5" s="225"/>
      <c r="H5" s="225"/>
      <c r="I5" s="225"/>
      <c r="J5" s="225"/>
      <c r="K5" s="225"/>
      <c r="L5" s="225"/>
      <c r="M5" s="225"/>
      <c r="N5" s="225"/>
      <c r="O5" s="225"/>
      <c r="P5" s="225"/>
      <c r="Q5" s="225"/>
      <c r="R5" s="225"/>
      <c r="S5" s="226"/>
      <c r="T5" s="173" t="s">
        <v>202</v>
      </c>
      <c r="U5" s="174"/>
      <c r="V5" s="174"/>
      <c r="W5" s="175"/>
      <c r="X5" s="161"/>
      <c r="Y5" s="162"/>
    </row>
    <row r="6" spans="1:73" s="7" customFormat="1" ht="12.75" x14ac:dyDescent="0.2">
      <c r="A6" s="193" t="s">
        <v>197</v>
      </c>
      <c r="B6" s="193"/>
      <c r="C6" s="193"/>
      <c r="D6" s="193"/>
      <c r="E6" s="193"/>
      <c r="F6" s="198" t="s">
        <v>723</v>
      </c>
      <c r="G6" s="199"/>
      <c r="H6" s="199"/>
      <c r="I6" s="199"/>
      <c r="J6" s="199"/>
      <c r="K6" s="199"/>
      <c r="L6" s="199"/>
      <c r="M6" s="199"/>
      <c r="N6" s="200"/>
      <c r="O6" s="198" t="s">
        <v>718</v>
      </c>
      <c r="P6" s="199"/>
      <c r="Q6" s="199"/>
      <c r="R6" s="199"/>
      <c r="S6" s="200"/>
      <c r="T6" s="215" t="s">
        <v>735</v>
      </c>
      <c r="U6" s="216"/>
      <c r="V6" s="216"/>
      <c r="W6" s="216"/>
      <c r="X6" s="216"/>
      <c r="Y6" s="217"/>
    </row>
    <row r="7" spans="1:73" ht="30" customHeight="1" x14ac:dyDescent="0.2">
      <c r="A7" s="83" t="s">
        <v>1</v>
      </c>
      <c r="B7" s="194"/>
      <c r="C7" s="194"/>
      <c r="D7" s="194"/>
      <c r="E7" s="194"/>
      <c r="F7" s="194"/>
      <c r="G7" s="194"/>
      <c r="H7" s="194"/>
      <c r="I7" s="194"/>
      <c r="J7" s="194"/>
      <c r="K7" s="194"/>
      <c r="L7" s="194"/>
      <c r="M7" s="194"/>
      <c r="N7" s="194"/>
      <c r="O7" s="194"/>
      <c r="P7" s="194"/>
      <c r="Q7" s="194"/>
      <c r="R7" s="194"/>
      <c r="S7" s="194"/>
      <c r="T7" s="176" t="s">
        <v>198</v>
      </c>
      <c r="U7" s="176"/>
      <c r="V7" s="176"/>
      <c r="W7" s="176"/>
      <c r="X7" s="177"/>
      <c r="Y7" s="177"/>
    </row>
    <row r="8" spans="1:73" ht="37.5" customHeight="1" x14ac:dyDescent="0.2">
      <c r="A8" s="195" t="s">
        <v>340</v>
      </c>
      <c r="B8" s="196"/>
      <c r="C8" s="196"/>
      <c r="D8" s="196"/>
      <c r="E8" s="196"/>
      <c r="F8" s="196"/>
      <c r="G8" s="196"/>
      <c r="H8" s="196"/>
      <c r="I8" s="196"/>
      <c r="J8" s="196"/>
      <c r="K8" s="196"/>
      <c r="L8" s="196"/>
      <c r="M8" s="196"/>
      <c r="N8" s="196"/>
      <c r="O8" s="196"/>
      <c r="P8" s="196"/>
      <c r="Q8" s="196"/>
      <c r="R8" s="196"/>
      <c r="S8" s="196"/>
      <c r="T8" s="196"/>
      <c r="U8" s="196"/>
      <c r="V8" s="196"/>
      <c r="W8" s="196"/>
      <c r="X8" s="196"/>
      <c r="Y8" s="197"/>
    </row>
    <row r="9" spans="1:73" ht="15.75" customHeight="1" x14ac:dyDescent="0.2">
      <c r="A9" s="227" t="s">
        <v>547</v>
      </c>
      <c r="B9" s="227" t="s">
        <v>548</v>
      </c>
      <c r="C9" s="227" t="s">
        <v>544</v>
      </c>
      <c r="D9" s="227" t="s">
        <v>545</v>
      </c>
      <c r="E9" s="227" t="s">
        <v>546</v>
      </c>
      <c r="F9" s="230" t="s">
        <v>308</v>
      </c>
      <c r="G9" s="181" t="s">
        <v>201</v>
      </c>
      <c r="H9" s="182"/>
      <c r="I9" s="182"/>
      <c r="J9" s="182"/>
      <c r="K9" s="182"/>
      <c r="L9" s="182"/>
      <c r="M9" s="182"/>
      <c r="N9" s="182"/>
      <c r="O9" s="182"/>
      <c r="P9" s="182"/>
      <c r="Q9" s="182"/>
      <c r="R9" s="182"/>
      <c r="S9" s="182"/>
      <c r="T9" s="182"/>
      <c r="U9" s="182"/>
      <c r="V9" s="182"/>
      <c r="W9" s="182"/>
      <c r="X9" s="182"/>
      <c r="Y9" s="183"/>
    </row>
    <row r="10" spans="1:73" ht="15.75" x14ac:dyDescent="0.2">
      <c r="A10" s="228"/>
      <c r="B10" s="228"/>
      <c r="C10" s="228"/>
      <c r="D10" s="228"/>
      <c r="E10" s="228"/>
      <c r="F10" s="231"/>
      <c r="G10" s="180"/>
      <c r="H10" s="180"/>
      <c r="I10" s="180"/>
      <c r="J10" s="180"/>
      <c r="K10" s="180"/>
      <c r="L10" s="180"/>
      <c r="M10" s="180"/>
      <c r="N10" s="180"/>
      <c r="O10" s="180"/>
      <c r="P10" s="180"/>
      <c r="Q10" s="180"/>
      <c r="R10" s="180"/>
      <c r="S10" s="180"/>
      <c r="T10" s="180"/>
      <c r="U10" s="180"/>
      <c r="V10" s="180"/>
      <c r="W10" s="180"/>
      <c r="X10" s="180"/>
      <c r="Y10" s="97"/>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row>
    <row r="11" spans="1:73" ht="14.25" customHeight="1" x14ac:dyDescent="0.2">
      <c r="A11" s="228"/>
      <c r="B11" s="228"/>
      <c r="C11" s="228"/>
      <c r="D11" s="228"/>
      <c r="E11" s="228"/>
      <c r="F11" s="231"/>
      <c r="G11" s="172" t="str">
        <f>IFERROR(VLOOKUP(G10,base!$A$2:$D$199,2,FALSE)," ")</f>
        <v xml:space="preserve"> </v>
      </c>
      <c r="H11" s="60"/>
      <c r="I11" s="172" t="str">
        <f>IFERROR(VLOOKUP(I10,base!$A$2:$D$199,2,FALSE)," ")</f>
        <v xml:space="preserve"> </v>
      </c>
      <c r="J11" s="60"/>
      <c r="K11" s="172" t="str">
        <f>IFERROR(VLOOKUP(K10,base!$A$2:$D$199,2,FALSE)," ")</f>
        <v xml:space="preserve"> </v>
      </c>
      <c r="L11" s="60"/>
      <c r="M11" s="172" t="str">
        <f>IFERROR(VLOOKUP(M10,base!$A$2:$D$199,2,FALSE)," ")</f>
        <v xml:space="preserve"> </v>
      </c>
      <c r="N11" s="60"/>
      <c r="O11" s="172" t="str">
        <f>IFERROR(VLOOKUP(O10,base!$A$2:$D$199,2,FALSE)," ")</f>
        <v xml:space="preserve"> </v>
      </c>
      <c r="P11" s="60"/>
      <c r="Q11" s="172" t="str">
        <f>IFERROR(VLOOKUP(Q10,base!$A$2:$D$199,2,FALSE)," ")</f>
        <v xml:space="preserve"> </v>
      </c>
      <c r="R11" s="60"/>
      <c r="S11" s="172" t="str">
        <f>IFERROR(VLOOKUP(S10,base!$A$2:$D$199,2,FALSE)," ")</f>
        <v xml:space="preserve"> </v>
      </c>
      <c r="T11" s="60"/>
      <c r="U11" s="172" t="str">
        <f>IFERROR(VLOOKUP(U10,base!$A$2:$D$199,2,FALSE)," ")</f>
        <v xml:space="preserve"> </v>
      </c>
      <c r="V11" s="60"/>
      <c r="W11" s="172" t="str">
        <f>IFERROR(VLOOKUP(W10,base!$A$2:$D$199,2,FALSE)," ")</f>
        <v xml:space="preserve"> </v>
      </c>
      <c r="X11" s="60"/>
      <c r="Y11" s="172" t="s">
        <v>336</v>
      </c>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row>
    <row r="12" spans="1:73" ht="97.5" customHeight="1" x14ac:dyDescent="0.2">
      <c r="A12" s="228"/>
      <c r="B12" s="228"/>
      <c r="C12" s="228"/>
      <c r="D12" s="228"/>
      <c r="E12" s="228"/>
      <c r="F12" s="231"/>
      <c r="G12" s="172"/>
      <c r="H12" s="82" t="str">
        <f>IFERROR(VLOOKUP(G10,base!$A$2:$D$199,4,FALSE)," _")</f>
        <v xml:space="preserve"> _</v>
      </c>
      <c r="I12" s="172"/>
      <c r="J12" s="82" t="str">
        <f>IFERROR(VLOOKUP(I10,base!$A$2:$D$199,4,FALSE)," _")</f>
        <v xml:space="preserve"> _</v>
      </c>
      <c r="K12" s="172"/>
      <c r="L12" s="82" t="str">
        <f>IFERROR(VLOOKUP(K10,base!$A$2:$D$199,4,FALSE)," _")</f>
        <v xml:space="preserve"> _</v>
      </c>
      <c r="M12" s="172"/>
      <c r="N12" s="82" t="str">
        <f>IFERROR(VLOOKUP(M10,base!$A$2:$D$199,4,FALSE)," _")</f>
        <v xml:space="preserve"> _</v>
      </c>
      <c r="O12" s="172"/>
      <c r="P12" s="82" t="str">
        <f>IFERROR(VLOOKUP(O10,base!$A$2:$D$199,4,FALSE)," _")</f>
        <v xml:space="preserve"> _</v>
      </c>
      <c r="Q12" s="172"/>
      <c r="R12" s="82" t="str">
        <f>IFERROR(VLOOKUP(Q10,base!$A$2:$D$199,4,FALSE)," _")</f>
        <v xml:space="preserve"> _</v>
      </c>
      <c r="S12" s="172"/>
      <c r="T12" s="82" t="str">
        <f>IFERROR(VLOOKUP(S10,base!$A$2:$D$199,4,FALSE)," _")</f>
        <v xml:space="preserve"> _</v>
      </c>
      <c r="U12" s="172"/>
      <c r="V12" s="82" t="str">
        <f>IFERROR(VLOOKUP(U10,base!$A$2:$D$199,4,FALSE)," _")</f>
        <v xml:space="preserve"> _</v>
      </c>
      <c r="W12" s="172"/>
      <c r="X12" s="82" t="str">
        <f>IFERROR(VLOOKUP(W10,base!$A$2:$D$199,4,FALSE)," _")</f>
        <v xml:space="preserve"> _</v>
      </c>
      <c r="Y12" s="172"/>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row>
    <row r="13" spans="1:73" ht="14.25" customHeight="1" x14ac:dyDescent="0.2">
      <c r="A13" s="228"/>
      <c r="B13" s="228"/>
      <c r="C13" s="228"/>
      <c r="D13" s="228"/>
      <c r="E13" s="228"/>
      <c r="F13" s="231"/>
      <c r="G13" s="172"/>
      <c r="H13" s="60"/>
      <c r="I13" s="172"/>
      <c r="J13" s="60"/>
      <c r="K13" s="172"/>
      <c r="L13" s="60"/>
      <c r="M13" s="172"/>
      <c r="N13" s="60"/>
      <c r="O13" s="172"/>
      <c r="P13" s="60"/>
      <c r="Q13" s="172"/>
      <c r="R13" s="60"/>
      <c r="S13" s="172"/>
      <c r="T13" s="60"/>
      <c r="U13" s="172"/>
      <c r="V13" s="60"/>
      <c r="W13" s="172"/>
      <c r="X13" s="60"/>
      <c r="Y13" s="172"/>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row>
    <row r="14" spans="1:73" ht="102" customHeight="1" x14ac:dyDescent="0.2">
      <c r="A14" s="229"/>
      <c r="B14" s="229"/>
      <c r="C14" s="229"/>
      <c r="D14" s="229"/>
      <c r="E14" s="229"/>
      <c r="F14" s="232"/>
      <c r="G14" s="172"/>
      <c r="H14" s="82" t="str">
        <f>IFERROR(VLOOKUP(G10,base!$A$2:$D$199,3,FALSE)," ")</f>
        <v xml:space="preserve"> </v>
      </c>
      <c r="I14" s="172"/>
      <c r="J14" s="82" t="str">
        <f>IFERROR(VLOOKUP(I10,base!$A$2:$D$199,3,FALSE)," ")</f>
        <v xml:space="preserve"> </v>
      </c>
      <c r="K14" s="172"/>
      <c r="L14" s="82" t="str">
        <f>IFERROR(VLOOKUP(K10,base!$A$2:$D$199,3,FALSE)," ")</f>
        <v xml:space="preserve"> </v>
      </c>
      <c r="M14" s="172"/>
      <c r="N14" s="82" t="str">
        <f>IFERROR(VLOOKUP(M10,base!$A$2:$D$199,3,FALSE)," ")</f>
        <v xml:space="preserve"> </v>
      </c>
      <c r="O14" s="172"/>
      <c r="P14" s="82" t="str">
        <f>IFERROR(VLOOKUP(O10,base!$A$2:$D$199,3,FALSE)," ")</f>
        <v xml:space="preserve"> </v>
      </c>
      <c r="Q14" s="172"/>
      <c r="R14" s="82" t="str">
        <f>IFERROR(VLOOKUP(Q10,base!$A$2:$D$199,3,FALSE)," ")</f>
        <v xml:space="preserve"> </v>
      </c>
      <c r="S14" s="172"/>
      <c r="T14" s="82" t="str">
        <f>IFERROR(VLOOKUP(S10,base!$A$2:$D$199,3,FALSE)," ")</f>
        <v xml:space="preserve"> </v>
      </c>
      <c r="U14" s="172"/>
      <c r="V14" s="82" t="str">
        <f>IFERROR(VLOOKUP(U10,base!$A$2:$D$199,3,FALSE)," ")</f>
        <v xml:space="preserve"> </v>
      </c>
      <c r="W14" s="172"/>
      <c r="X14" s="82" t="str">
        <f>IFERROR(VLOOKUP(W10,base!$A$2:$D$199,3,FALSE)," ")</f>
        <v xml:space="preserve"> </v>
      </c>
      <c r="Y14" s="172"/>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row>
    <row r="15" spans="1:73" ht="35.25" customHeight="1" x14ac:dyDescent="0.2">
      <c r="A15" s="136"/>
      <c r="B15" s="8"/>
      <c r="C15" s="142"/>
      <c r="D15" s="10"/>
      <c r="E15" s="4"/>
      <c r="F15" s="61"/>
      <c r="G15" s="161"/>
      <c r="H15" s="162"/>
      <c r="I15" s="161"/>
      <c r="J15" s="162"/>
      <c r="K15" s="161"/>
      <c r="L15" s="162"/>
      <c r="M15" s="161"/>
      <c r="N15" s="162"/>
      <c r="O15" s="161"/>
      <c r="P15" s="162"/>
      <c r="Q15" s="161"/>
      <c r="R15" s="162"/>
      <c r="S15" s="161"/>
      <c r="T15" s="162"/>
      <c r="U15" s="161"/>
      <c r="V15" s="162"/>
      <c r="W15" s="161"/>
      <c r="X15" s="162"/>
      <c r="Y15" s="84"/>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row>
    <row r="16" spans="1:73" ht="35.25" customHeight="1" x14ac:dyDescent="0.2">
      <c r="A16" s="136"/>
      <c r="B16" s="8"/>
      <c r="C16" s="142"/>
      <c r="D16" s="10"/>
      <c r="E16" s="4"/>
      <c r="F16" s="61"/>
      <c r="G16" s="161"/>
      <c r="H16" s="162"/>
      <c r="I16" s="161"/>
      <c r="J16" s="162"/>
      <c r="K16" s="161"/>
      <c r="L16" s="162"/>
      <c r="M16" s="161"/>
      <c r="N16" s="162"/>
      <c r="O16" s="161"/>
      <c r="P16" s="162"/>
      <c r="Q16" s="161"/>
      <c r="R16" s="162"/>
      <c r="S16" s="161"/>
      <c r="T16" s="162"/>
      <c r="U16" s="161"/>
      <c r="V16" s="162"/>
      <c r="W16" s="161"/>
      <c r="X16" s="162"/>
      <c r="Y16" s="84"/>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row>
    <row r="17" spans="1:72" ht="35.25" customHeight="1" x14ac:dyDescent="0.2">
      <c r="A17" s="136"/>
      <c r="B17" s="8"/>
      <c r="C17" s="142"/>
      <c r="D17" s="10"/>
      <c r="E17" s="4"/>
      <c r="F17" s="61"/>
      <c r="G17" s="161"/>
      <c r="H17" s="162"/>
      <c r="I17" s="161"/>
      <c r="J17" s="162"/>
      <c r="K17" s="161"/>
      <c r="L17" s="162"/>
      <c r="M17" s="161"/>
      <c r="N17" s="162"/>
      <c r="O17" s="161"/>
      <c r="P17" s="162"/>
      <c r="Q17" s="161"/>
      <c r="R17" s="162"/>
      <c r="S17" s="161"/>
      <c r="T17" s="162"/>
      <c r="U17" s="161"/>
      <c r="V17" s="162"/>
      <c r="W17" s="161"/>
      <c r="X17" s="162"/>
      <c r="Y17" s="84"/>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row>
    <row r="18" spans="1:72" ht="35.25" customHeight="1" x14ac:dyDescent="0.2">
      <c r="A18" s="136"/>
      <c r="B18" s="8"/>
      <c r="C18" s="142"/>
      <c r="D18" s="10"/>
      <c r="E18" s="4"/>
      <c r="F18" s="61"/>
      <c r="G18" s="161"/>
      <c r="H18" s="162"/>
      <c r="I18" s="161"/>
      <c r="J18" s="162"/>
      <c r="K18" s="161"/>
      <c r="L18" s="162"/>
      <c r="M18" s="161"/>
      <c r="N18" s="162"/>
      <c r="O18" s="161"/>
      <c r="P18" s="162"/>
      <c r="Q18" s="161"/>
      <c r="R18" s="162"/>
      <c r="S18" s="161"/>
      <c r="T18" s="162"/>
      <c r="U18" s="161"/>
      <c r="V18" s="162"/>
      <c r="W18" s="161"/>
      <c r="X18" s="162"/>
      <c r="Y18" s="84"/>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row>
    <row r="19" spans="1:72" ht="35.25" customHeight="1" x14ac:dyDescent="0.2">
      <c r="A19" s="136"/>
      <c r="B19" s="8"/>
      <c r="C19" s="142"/>
      <c r="D19" s="10"/>
      <c r="E19" s="4"/>
      <c r="F19" s="61"/>
      <c r="G19" s="161"/>
      <c r="H19" s="162"/>
      <c r="I19" s="161"/>
      <c r="J19" s="162"/>
      <c r="K19" s="161"/>
      <c r="L19" s="162"/>
      <c r="M19" s="161"/>
      <c r="N19" s="162"/>
      <c r="O19" s="161"/>
      <c r="P19" s="162"/>
      <c r="Q19" s="161"/>
      <c r="R19" s="162"/>
      <c r="S19" s="161"/>
      <c r="T19" s="162"/>
      <c r="U19" s="161"/>
      <c r="V19" s="162"/>
      <c r="W19" s="161"/>
      <c r="X19" s="162"/>
      <c r="Y19" s="84"/>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row>
    <row r="20" spans="1:72" ht="35.25" customHeight="1" x14ac:dyDescent="0.2">
      <c r="A20" s="136"/>
      <c r="B20" s="8"/>
      <c r="C20" s="142"/>
      <c r="D20" s="10"/>
      <c r="E20" s="4"/>
      <c r="F20" s="61"/>
      <c r="G20" s="161"/>
      <c r="H20" s="162"/>
      <c r="I20" s="161"/>
      <c r="J20" s="162"/>
      <c r="K20" s="161"/>
      <c r="L20" s="162"/>
      <c r="M20" s="161"/>
      <c r="N20" s="162"/>
      <c r="O20" s="161"/>
      <c r="P20" s="162"/>
      <c r="Q20" s="161"/>
      <c r="R20" s="162"/>
      <c r="S20" s="161"/>
      <c r="T20" s="162"/>
      <c r="U20" s="161"/>
      <c r="V20" s="162"/>
      <c r="W20" s="161"/>
      <c r="X20" s="162"/>
      <c r="Y20" s="84"/>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row>
    <row r="21" spans="1:72" ht="35.25" customHeight="1" x14ac:dyDescent="0.2">
      <c r="A21" s="136"/>
      <c r="B21" s="8"/>
      <c r="C21" s="142"/>
      <c r="D21" s="10"/>
      <c r="E21" s="8"/>
      <c r="F21" s="61"/>
      <c r="G21" s="161"/>
      <c r="H21" s="162"/>
      <c r="I21" s="161"/>
      <c r="J21" s="162"/>
      <c r="K21" s="161"/>
      <c r="L21" s="162"/>
      <c r="M21" s="161"/>
      <c r="N21" s="162"/>
      <c r="O21" s="161"/>
      <c r="P21" s="162"/>
      <c r="Q21" s="161"/>
      <c r="R21" s="162"/>
      <c r="S21" s="161"/>
      <c r="T21" s="162"/>
      <c r="U21" s="161"/>
      <c r="V21" s="162"/>
      <c r="W21" s="161"/>
      <c r="X21" s="162"/>
      <c r="Y21" s="84"/>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row>
    <row r="22" spans="1:72" ht="35.25" customHeight="1" x14ac:dyDescent="0.2">
      <c r="A22" s="156"/>
      <c r="B22" s="157"/>
      <c r="C22" s="158"/>
      <c r="D22" s="159"/>
      <c r="E22" s="157"/>
      <c r="F22" s="160"/>
      <c r="G22" s="165"/>
      <c r="H22" s="166"/>
      <c r="I22" s="165"/>
      <c r="J22" s="166"/>
      <c r="K22" s="165"/>
      <c r="L22" s="166"/>
      <c r="M22" s="161"/>
      <c r="N22" s="162"/>
      <c r="O22" s="161"/>
      <c r="P22" s="162"/>
      <c r="Q22" s="161"/>
      <c r="R22" s="162"/>
      <c r="S22" s="161"/>
      <c r="T22" s="162"/>
      <c r="U22" s="161"/>
      <c r="V22" s="162"/>
      <c r="W22" s="161"/>
      <c r="X22" s="162"/>
      <c r="Y22" s="84"/>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row>
    <row r="23" spans="1:72" ht="35.25" customHeight="1" thickBot="1" x14ac:dyDescent="0.25">
      <c r="A23" s="137"/>
      <c r="B23" s="137"/>
      <c r="C23" s="155"/>
      <c r="D23" s="139"/>
      <c r="E23" s="138"/>
      <c r="F23" s="140"/>
      <c r="G23" s="161"/>
      <c r="H23" s="162"/>
      <c r="I23" s="161"/>
      <c r="J23" s="162"/>
      <c r="K23" s="161"/>
      <c r="L23" s="162"/>
      <c r="M23" s="161"/>
      <c r="N23" s="162"/>
      <c r="O23" s="161"/>
      <c r="P23" s="162"/>
      <c r="Q23" s="161"/>
      <c r="R23" s="162"/>
      <c r="S23" s="161"/>
      <c r="T23" s="162"/>
      <c r="U23" s="161"/>
      <c r="V23" s="162"/>
      <c r="W23" s="161"/>
      <c r="X23" s="162"/>
      <c r="Y23" s="84"/>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row>
    <row r="24" spans="1:72" ht="20.25" customHeight="1" thickBot="1" x14ac:dyDescent="0.25">
      <c r="A24" s="201" t="s">
        <v>0</v>
      </c>
      <c r="B24" s="202"/>
      <c r="C24" s="202"/>
      <c r="D24" s="202"/>
      <c r="E24" s="202"/>
      <c r="F24" s="203"/>
      <c r="G24" s="167">
        <f>IFERROR(COUNTA(G15:H23)," ")</f>
        <v>0</v>
      </c>
      <c r="H24" s="164"/>
      <c r="I24" s="163">
        <f>IFERROR(COUNTA(I15:J23)," ")</f>
        <v>0</v>
      </c>
      <c r="J24" s="164"/>
      <c r="K24" s="163">
        <f>IFERROR(COUNTA(K15:L23)," ")</f>
        <v>0</v>
      </c>
      <c r="L24" s="164"/>
      <c r="M24" s="163">
        <f>IFERROR(COUNTA(M15:N23)," ")</f>
        <v>0</v>
      </c>
      <c r="N24" s="164"/>
      <c r="O24" s="163">
        <f>IFERROR(COUNTA(O15:P23)," ")</f>
        <v>0</v>
      </c>
      <c r="P24" s="164"/>
      <c r="Q24" s="163">
        <f>IFERROR(COUNTA(Q15:R23)," ")</f>
        <v>0</v>
      </c>
      <c r="R24" s="164"/>
      <c r="S24" s="163">
        <f>IFERROR(COUNTA(S15:T23)," ")</f>
        <v>0</v>
      </c>
      <c r="T24" s="164"/>
      <c r="U24" s="163">
        <f>IFERROR(COUNTA(U15:V23)," ")</f>
        <v>0</v>
      </c>
      <c r="V24" s="164"/>
      <c r="W24" s="163">
        <f>IFERROR(COUNTA(W15:X23)," ")</f>
        <v>0</v>
      </c>
      <c r="X24" s="167"/>
      <c r="Y24" s="86">
        <f>IFERROR(COUNTA(Y15:Y23)," ")</f>
        <v>0</v>
      </c>
    </row>
    <row r="25" spans="1:72" ht="15" x14ac:dyDescent="0.2">
      <c r="A25" s="204" t="s">
        <v>543</v>
      </c>
      <c r="B25" s="204"/>
      <c r="C25" s="204"/>
      <c r="D25" s="204"/>
      <c r="E25" s="204"/>
      <c r="F25" s="204"/>
      <c r="G25" s="9"/>
      <c r="H25" s="9"/>
      <c r="I25" s="9"/>
      <c r="J25" s="9"/>
      <c r="K25" s="9"/>
      <c r="L25" s="9"/>
      <c r="M25" s="9"/>
      <c r="N25" s="9"/>
      <c r="O25" s="9"/>
      <c r="P25" s="9"/>
      <c r="Q25" s="9"/>
      <c r="R25" s="9"/>
      <c r="S25" s="9"/>
      <c r="T25" s="9"/>
      <c r="U25" s="9"/>
      <c r="V25" s="9"/>
      <c r="W25" s="9"/>
      <c r="X25" s="9"/>
      <c r="Y25" s="9"/>
    </row>
    <row r="26" spans="1:72" ht="24" customHeight="1" x14ac:dyDescent="0.2">
      <c r="A26" s="205" t="s">
        <v>5</v>
      </c>
      <c r="B26" s="206"/>
      <c r="C26" s="207"/>
      <c r="D26" s="215"/>
      <c r="E26" s="216"/>
      <c r="F26" s="216"/>
      <c r="G26" s="216"/>
      <c r="H26" s="216"/>
      <c r="I26" s="216"/>
      <c r="J26" s="216"/>
      <c r="K26" s="216"/>
      <c r="L26" s="216"/>
      <c r="M26" s="216"/>
      <c r="N26" s="216"/>
      <c r="O26" s="216"/>
      <c r="P26" s="216"/>
      <c r="Q26" s="216"/>
      <c r="R26" s="216"/>
      <c r="S26" s="216"/>
      <c r="T26" s="216"/>
      <c r="U26" s="216"/>
      <c r="V26" s="216"/>
      <c r="W26" s="216"/>
      <c r="X26" s="216"/>
      <c r="Y26" s="217"/>
    </row>
    <row r="27" spans="1:72" ht="24" customHeight="1" x14ac:dyDescent="0.2">
      <c r="A27" s="208"/>
      <c r="B27" s="209"/>
      <c r="C27" s="210"/>
      <c r="D27" s="215"/>
      <c r="E27" s="216"/>
      <c r="F27" s="216"/>
      <c r="G27" s="216"/>
      <c r="H27" s="216"/>
      <c r="I27" s="216"/>
      <c r="J27" s="216"/>
      <c r="K27" s="216"/>
      <c r="L27" s="216"/>
      <c r="M27" s="216"/>
      <c r="N27" s="216"/>
      <c r="O27" s="216"/>
      <c r="P27" s="216"/>
      <c r="Q27" s="216"/>
      <c r="R27" s="216"/>
      <c r="S27" s="216"/>
      <c r="T27" s="216"/>
      <c r="U27" s="216"/>
      <c r="V27" s="216"/>
      <c r="W27" s="216"/>
      <c r="X27" s="216"/>
      <c r="Y27" s="217"/>
    </row>
    <row r="28" spans="1:72" ht="24" customHeight="1" x14ac:dyDescent="0.2">
      <c r="A28" s="211"/>
      <c r="B28" s="212"/>
      <c r="C28" s="213"/>
      <c r="D28" s="214"/>
      <c r="E28" s="214"/>
      <c r="F28" s="214"/>
      <c r="G28" s="214"/>
      <c r="H28" s="214"/>
      <c r="I28" s="214"/>
      <c r="J28" s="214"/>
      <c r="K28" s="214"/>
      <c r="L28" s="214"/>
      <c r="M28" s="214"/>
      <c r="N28" s="214"/>
      <c r="O28" s="214"/>
      <c r="P28" s="214"/>
      <c r="Q28" s="214"/>
      <c r="R28" s="214"/>
      <c r="S28" s="214"/>
      <c r="T28" s="214"/>
      <c r="U28" s="214"/>
      <c r="V28" s="214"/>
      <c r="W28" s="214"/>
      <c r="X28" s="214"/>
      <c r="Y28" s="214"/>
    </row>
    <row r="29" spans="1:72" s="90" customFormat="1" ht="33.75" customHeight="1" x14ac:dyDescent="0.2">
      <c r="A29" s="85" t="s">
        <v>2</v>
      </c>
      <c r="B29" s="233"/>
      <c r="C29" s="233"/>
      <c r="D29" s="89"/>
      <c r="E29" s="235" t="s">
        <v>331</v>
      </c>
      <c r="F29" s="235"/>
      <c r="G29" s="235"/>
      <c r="H29" s="233"/>
      <c r="I29" s="233"/>
      <c r="J29" s="233"/>
      <c r="K29" s="141"/>
      <c r="L29" s="141"/>
      <c r="M29" s="235" t="s">
        <v>4</v>
      </c>
      <c r="N29" s="235"/>
      <c r="O29" s="235"/>
      <c r="P29" s="233"/>
      <c r="Q29" s="233"/>
      <c r="R29" s="233"/>
      <c r="S29" s="87"/>
      <c r="T29" s="91"/>
      <c r="U29" s="91"/>
      <c r="V29" s="91"/>
      <c r="W29" s="91"/>
      <c r="X29" s="91"/>
      <c r="Y29" s="91"/>
    </row>
    <row r="30" spans="1:72" s="90" customFormat="1" ht="23.25" customHeight="1" x14ac:dyDescent="0.2">
      <c r="A30" s="85"/>
      <c r="B30" s="171" t="s">
        <v>3</v>
      </c>
      <c r="C30" s="171"/>
      <c r="D30" s="171"/>
      <c r="E30" s="236" t="s">
        <v>332</v>
      </c>
      <c r="F30" s="236"/>
      <c r="G30" s="236"/>
      <c r="H30" s="233"/>
      <c r="I30" s="233"/>
      <c r="J30" s="233"/>
      <c r="M30" s="236" t="s">
        <v>7</v>
      </c>
      <c r="N30" s="236"/>
      <c r="O30" s="236"/>
      <c r="P30" s="233"/>
      <c r="Q30" s="233"/>
      <c r="R30" s="233"/>
      <c r="T30" s="171" t="s">
        <v>334</v>
      </c>
      <c r="U30" s="171"/>
      <c r="V30" s="171"/>
      <c r="W30" s="171"/>
      <c r="X30" s="171"/>
      <c r="Y30" s="171"/>
    </row>
    <row r="31" spans="1:72" s="90" customFormat="1" ht="19.5" customHeight="1" x14ac:dyDescent="0.2">
      <c r="A31" s="88"/>
      <c r="E31" s="236" t="s">
        <v>333</v>
      </c>
      <c r="F31" s="236"/>
      <c r="G31" s="236"/>
      <c r="H31" s="237"/>
      <c r="I31" s="237"/>
      <c r="J31" s="237"/>
      <c r="K31" s="88"/>
      <c r="L31" s="88"/>
      <c r="M31" s="236" t="s">
        <v>309</v>
      </c>
      <c r="N31" s="236"/>
      <c r="O31" s="236"/>
      <c r="P31" s="234"/>
      <c r="Q31" s="234"/>
      <c r="R31" s="234"/>
      <c r="S31" s="85"/>
      <c r="T31" s="168"/>
      <c r="U31" s="168"/>
      <c r="V31" s="168"/>
      <c r="W31" s="168"/>
      <c r="X31" s="168"/>
      <c r="Y31" s="168"/>
    </row>
    <row r="32" spans="1:72" ht="12.75" customHeight="1" x14ac:dyDescent="0.2">
      <c r="A32" s="5"/>
      <c r="F32" s="5"/>
      <c r="G32" s="1"/>
      <c r="H32" s="1"/>
      <c r="I32" s="1"/>
      <c r="J32" s="1"/>
      <c r="K32" s="1"/>
      <c r="L32" s="1"/>
      <c r="M32" s="1"/>
      <c r="N32" s="1"/>
      <c r="O32" s="1"/>
      <c r="P32" s="1"/>
      <c r="Q32" s="1"/>
      <c r="R32" s="1"/>
      <c r="S32" s="1"/>
      <c r="T32" s="1"/>
      <c r="U32" s="1"/>
      <c r="V32" s="1"/>
      <c r="W32" s="1"/>
      <c r="X32" s="1"/>
      <c r="Y32" s="1"/>
    </row>
    <row r="33" spans="1:25" ht="12.75" customHeight="1" x14ac:dyDescent="0.2">
      <c r="A33" s="5"/>
      <c r="D33" s="1"/>
      <c r="E33" s="1"/>
      <c r="F33" s="5"/>
      <c r="G33" s="1"/>
      <c r="H33" s="1"/>
      <c r="I33" s="1"/>
      <c r="J33" s="1"/>
      <c r="K33" s="1"/>
      <c r="L33" s="1"/>
      <c r="M33" s="1"/>
      <c r="N33" s="1"/>
      <c r="O33" s="1"/>
      <c r="P33" s="1"/>
      <c r="Q33" s="1"/>
      <c r="R33" s="1"/>
      <c r="S33" s="1"/>
      <c r="T33" s="1"/>
      <c r="U33" s="1"/>
      <c r="V33" s="1"/>
      <c r="W33" s="1"/>
      <c r="X33" s="1"/>
      <c r="Y33" s="1"/>
    </row>
    <row r="34" spans="1:25" ht="12.75" customHeight="1" x14ac:dyDescent="0.2">
      <c r="D34" s="1"/>
      <c r="E34" s="1"/>
    </row>
    <row r="35" spans="1:25" ht="12.75" customHeight="1" x14ac:dyDescent="0.2"/>
    <row r="36" spans="1:25" ht="12.75" customHeight="1" x14ac:dyDescent="0.2"/>
    <row r="37" spans="1:25" ht="12.75" customHeight="1" x14ac:dyDescent="0.2"/>
    <row r="38" spans="1:25" ht="12.75" customHeight="1" x14ac:dyDescent="0.2"/>
    <row r="39" spans="1:25" ht="12.75" customHeight="1" x14ac:dyDescent="0.2">
      <c r="D39" s="1"/>
      <c r="E39" s="1"/>
    </row>
    <row r="40" spans="1:25" ht="12.75" customHeight="1" x14ac:dyDescent="0.2">
      <c r="A40" s="5"/>
      <c r="D40" s="1"/>
      <c r="E40" s="1"/>
      <c r="F40" s="5"/>
      <c r="G40" s="1"/>
      <c r="H40" s="1"/>
      <c r="I40" s="1"/>
      <c r="J40" s="1"/>
      <c r="K40" s="1"/>
      <c r="L40" s="1"/>
      <c r="M40" s="1"/>
      <c r="N40" s="1"/>
      <c r="O40" s="1"/>
      <c r="P40" s="1"/>
      <c r="Q40" s="1"/>
      <c r="R40" s="1"/>
      <c r="S40" s="1"/>
      <c r="T40" s="1"/>
      <c r="U40" s="1"/>
      <c r="V40" s="1"/>
      <c r="W40" s="1"/>
      <c r="X40" s="1"/>
      <c r="Y40" s="1"/>
    </row>
    <row r="41" spans="1:25" ht="12.75" customHeight="1" x14ac:dyDescent="0.2">
      <c r="A41" s="5"/>
      <c r="F41" s="5"/>
      <c r="G41" s="1"/>
      <c r="H41" s="1"/>
      <c r="I41" s="1"/>
      <c r="J41" s="1"/>
      <c r="K41" s="1"/>
      <c r="L41" s="1"/>
      <c r="M41" s="1"/>
      <c r="N41" s="1"/>
      <c r="O41" s="1"/>
      <c r="P41" s="1"/>
      <c r="Q41" s="1"/>
      <c r="R41" s="1"/>
      <c r="S41" s="1"/>
      <c r="T41" s="1"/>
      <c r="U41" s="1"/>
      <c r="V41" s="1"/>
      <c r="W41" s="1"/>
      <c r="X41" s="1"/>
      <c r="Y41" s="1"/>
    </row>
    <row r="42" spans="1:25" ht="12.75" customHeight="1" x14ac:dyDescent="0.2">
      <c r="D42" s="1"/>
      <c r="E42" s="1"/>
    </row>
    <row r="43" spans="1:25" ht="12.75" customHeight="1" x14ac:dyDescent="0.2"/>
    <row r="44" spans="1:25" ht="12.75" customHeight="1" x14ac:dyDescent="0.2"/>
    <row r="45" spans="1:25" ht="12.75" customHeight="1" x14ac:dyDescent="0.2"/>
    <row r="46" spans="1:25" ht="12.75" customHeight="1" x14ac:dyDescent="0.2">
      <c r="A46" s="5"/>
      <c r="F46" s="5"/>
      <c r="G46" s="1"/>
      <c r="H46" s="1"/>
      <c r="I46" s="1"/>
      <c r="J46" s="1"/>
      <c r="K46" s="1"/>
      <c r="L46" s="1"/>
      <c r="M46" s="1"/>
      <c r="N46" s="1"/>
      <c r="O46" s="1"/>
      <c r="P46" s="1"/>
      <c r="Q46" s="1"/>
      <c r="R46" s="1"/>
      <c r="S46" s="1"/>
      <c r="T46" s="1"/>
      <c r="U46" s="1"/>
      <c r="V46" s="1"/>
      <c r="W46" s="1"/>
      <c r="X46" s="1"/>
      <c r="Y46" s="1"/>
    </row>
    <row r="47" spans="1:25" ht="12.75" customHeight="1" x14ac:dyDescent="0.2">
      <c r="A47" s="5"/>
      <c r="F47" s="5"/>
      <c r="G47" s="1"/>
      <c r="H47" s="1"/>
      <c r="I47" s="1"/>
      <c r="J47" s="1"/>
      <c r="K47" s="1"/>
      <c r="L47" s="1"/>
      <c r="M47" s="1"/>
      <c r="N47" s="1"/>
      <c r="O47" s="1"/>
      <c r="P47" s="1"/>
      <c r="Q47" s="1"/>
      <c r="R47" s="1"/>
      <c r="S47" s="1"/>
      <c r="T47" s="1"/>
      <c r="U47" s="1"/>
      <c r="V47" s="1"/>
      <c r="W47" s="1"/>
      <c r="X47" s="1"/>
      <c r="Y47" s="1"/>
    </row>
    <row r="48" spans="1:25" ht="12.75" customHeight="1" x14ac:dyDescent="0.2"/>
    <row r="49" spans="1:25" ht="12.75" customHeight="1" x14ac:dyDescent="0.2">
      <c r="A49" s="5"/>
      <c r="F49" s="5"/>
      <c r="G49" s="1"/>
      <c r="H49" s="1"/>
      <c r="I49" s="1"/>
      <c r="J49" s="1"/>
      <c r="K49" s="1"/>
      <c r="L49" s="1"/>
      <c r="M49" s="1"/>
      <c r="N49" s="1"/>
      <c r="O49" s="1"/>
      <c r="P49" s="1"/>
      <c r="Q49" s="1"/>
      <c r="R49" s="1"/>
      <c r="S49" s="1"/>
      <c r="T49" s="1"/>
      <c r="U49" s="1"/>
      <c r="V49" s="1"/>
      <c r="W49" s="1"/>
      <c r="X49" s="1"/>
      <c r="Y49" s="1"/>
    </row>
    <row r="50" spans="1:25" ht="12.75" customHeight="1" x14ac:dyDescent="0.2"/>
    <row r="51" spans="1:25" ht="12.75" customHeight="1" x14ac:dyDescent="0.2"/>
    <row r="52" spans="1:25" ht="12.75" customHeight="1" x14ac:dyDescent="0.2"/>
    <row r="53" spans="1:25" ht="12.75" customHeight="1" x14ac:dyDescent="0.2"/>
    <row r="54" spans="1:25" ht="12.75" customHeight="1" x14ac:dyDescent="0.2"/>
    <row r="55" spans="1:25" ht="12.75" customHeight="1" x14ac:dyDescent="0.2"/>
    <row r="56" spans="1:25" ht="12.75" customHeight="1" x14ac:dyDescent="0.2"/>
    <row r="57" spans="1:25" ht="12.75" customHeight="1" x14ac:dyDescent="0.2"/>
    <row r="58" spans="1:25" ht="12.75" customHeight="1" x14ac:dyDescent="0.2"/>
    <row r="59" spans="1:25" ht="12.75" customHeight="1" x14ac:dyDescent="0.2"/>
    <row r="60" spans="1:25" ht="12.75" customHeight="1" x14ac:dyDescent="0.2"/>
    <row r="61" spans="1:25" ht="12.75" customHeight="1" x14ac:dyDescent="0.2"/>
    <row r="62" spans="1:25" ht="12.75" customHeight="1" x14ac:dyDescent="0.2"/>
    <row r="63" spans="1:25" ht="12.75" customHeight="1" x14ac:dyDescent="0.2"/>
    <row r="64" spans="1:25"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sheetData>
  <sheetProtection formatCells="0" formatColumns="0" formatRows="0" insertColumns="0" insertRows="0" insertHyperlinks="0" deleteColumns="0" deleteRows="0" sort="0" autoFilter="0" pivotTables="0"/>
  <mergeCells count="160">
    <mergeCell ref="B29:C29"/>
    <mergeCell ref="P29:R29"/>
    <mergeCell ref="P30:R30"/>
    <mergeCell ref="P31:R31"/>
    <mergeCell ref="E29:G29"/>
    <mergeCell ref="E30:G30"/>
    <mergeCell ref="E31:G31"/>
    <mergeCell ref="M29:O29"/>
    <mergeCell ref="M30:O30"/>
    <mergeCell ref="M31:O31"/>
    <mergeCell ref="H29:J29"/>
    <mergeCell ref="H30:J30"/>
    <mergeCell ref="H31:J31"/>
    <mergeCell ref="B30:D30"/>
    <mergeCell ref="A24:F24"/>
    <mergeCell ref="A25:F25"/>
    <mergeCell ref="A26:C28"/>
    <mergeCell ref="D28:Y28"/>
    <mergeCell ref="D27:Y27"/>
    <mergeCell ref="D26:Y26"/>
    <mergeCell ref="F1:S5"/>
    <mergeCell ref="T6:Y6"/>
    <mergeCell ref="O6:S6"/>
    <mergeCell ref="B9:B14"/>
    <mergeCell ref="C9:C14"/>
    <mergeCell ref="F9:F14"/>
    <mergeCell ref="D9:D14"/>
    <mergeCell ref="A9:A14"/>
    <mergeCell ref="G11:G14"/>
    <mergeCell ref="I11:I14"/>
    <mergeCell ref="M11:M14"/>
    <mergeCell ref="G22:H22"/>
    <mergeCell ref="I22:J22"/>
    <mergeCell ref="E9:E14"/>
    <mergeCell ref="M24:N24"/>
    <mergeCell ref="O24:P24"/>
    <mergeCell ref="Q22:R22"/>
    <mergeCell ref="O22:P22"/>
    <mergeCell ref="AR10:BT10"/>
    <mergeCell ref="AS11:BU11"/>
    <mergeCell ref="O10:P10"/>
    <mergeCell ref="Q10:R10"/>
    <mergeCell ref="S10:T10"/>
    <mergeCell ref="U10:V10"/>
    <mergeCell ref="W10:X10"/>
    <mergeCell ref="G9:Y9"/>
    <mergeCell ref="A1:E5"/>
    <mergeCell ref="A6:E6"/>
    <mergeCell ref="B7:S7"/>
    <mergeCell ref="A8:Y8"/>
    <mergeCell ref="K10:L10"/>
    <mergeCell ref="K11:K14"/>
    <mergeCell ref="F6:N6"/>
    <mergeCell ref="T1:W1"/>
    <mergeCell ref="X1:Y1"/>
    <mergeCell ref="G10:H10"/>
    <mergeCell ref="I10:J10"/>
    <mergeCell ref="M10:N10"/>
    <mergeCell ref="T31:Y31"/>
    <mergeCell ref="X2:Y2"/>
    <mergeCell ref="T30:Y30"/>
    <mergeCell ref="O11:O14"/>
    <mergeCell ref="Q11:Q14"/>
    <mergeCell ref="S11:S14"/>
    <mergeCell ref="W24:X24"/>
    <mergeCell ref="Q24:R24"/>
    <mergeCell ref="S24:T24"/>
    <mergeCell ref="U24:V24"/>
    <mergeCell ref="T2:W2"/>
    <mergeCell ref="O23:P23"/>
    <mergeCell ref="T5:W5"/>
    <mergeCell ref="T7:W7"/>
    <mergeCell ref="T3:W3"/>
    <mergeCell ref="X3:Y3"/>
    <mergeCell ref="T4:W4"/>
    <mergeCell ref="X4:Y4"/>
    <mergeCell ref="X5:Y5"/>
    <mergeCell ref="X7:Y7"/>
    <mergeCell ref="Y11:Y14"/>
    <mergeCell ref="S23:T23"/>
    <mergeCell ref="U11:U14"/>
    <mergeCell ref="W11:W14"/>
    <mergeCell ref="S22:T22"/>
    <mergeCell ref="U22:V22"/>
    <mergeCell ref="M23:N23"/>
    <mergeCell ref="Q23:R23"/>
    <mergeCell ref="U23:V23"/>
    <mergeCell ref="W23:X23"/>
    <mergeCell ref="S15:T15"/>
    <mergeCell ref="U15:V15"/>
    <mergeCell ref="W15:X15"/>
    <mergeCell ref="S21:T21"/>
    <mergeCell ref="U21:V21"/>
    <mergeCell ref="W21:X21"/>
    <mergeCell ref="W22:X22"/>
    <mergeCell ref="M22:N22"/>
    <mergeCell ref="M15:N15"/>
    <mergeCell ref="O15:P15"/>
    <mergeCell ref="Q15:R15"/>
    <mergeCell ref="S16:T16"/>
    <mergeCell ref="U16:V16"/>
    <mergeCell ref="W16:X16"/>
    <mergeCell ref="S17:T17"/>
    <mergeCell ref="U17:V17"/>
    <mergeCell ref="W17:X17"/>
    <mergeCell ref="S20:T20"/>
    <mergeCell ref="K21:L21"/>
    <mergeCell ref="M21:N21"/>
    <mergeCell ref="O21:P21"/>
    <mergeCell ref="Q21:R21"/>
    <mergeCell ref="M16:N16"/>
    <mergeCell ref="O16:P16"/>
    <mergeCell ref="Q16:R16"/>
    <mergeCell ref="M18:N18"/>
    <mergeCell ref="O18:P18"/>
    <mergeCell ref="Q18:R18"/>
    <mergeCell ref="M20:N20"/>
    <mergeCell ref="O20:P20"/>
    <mergeCell ref="Q20:R20"/>
    <mergeCell ref="M17:N17"/>
    <mergeCell ref="O17:P17"/>
    <mergeCell ref="Q17:R17"/>
    <mergeCell ref="K23:L23"/>
    <mergeCell ref="K24:L24"/>
    <mergeCell ref="K22:L22"/>
    <mergeCell ref="G23:H23"/>
    <mergeCell ref="I23:J23"/>
    <mergeCell ref="G24:H24"/>
    <mergeCell ref="I24:J24"/>
    <mergeCell ref="G15:H15"/>
    <mergeCell ref="G21:H21"/>
    <mergeCell ref="I15:J15"/>
    <mergeCell ref="K15:L15"/>
    <mergeCell ref="G16:H16"/>
    <mergeCell ref="I16:J16"/>
    <mergeCell ref="K16:L16"/>
    <mergeCell ref="G18:H18"/>
    <mergeCell ref="I18:J18"/>
    <mergeCell ref="K18:L18"/>
    <mergeCell ref="G20:H20"/>
    <mergeCell ref="I20:J20"/>
    <mergeCell ref="K20:L20"/>
    <mergeCell ref="G17:H17"/>
    <mergeCell ref="I17:J17"/>
    <mergeCell ref="K17:L17"/>
    <mergeCell ref="I21:J21"/>
    <mergeCell ref="U20:V20"/>
    <mergeCell ref="W20:X20"/>
    <mergeCell ref="S18:T18"/>
    <mergeCell ref="U18:V18"/>
    <mergeCell ref="W18:X18"/>
    <mergeCell ref="G19:H19"/>
    <mergeCell ref="I19:J19"/>
    <mergeCell ref="K19:L19"/>
    <mergeCell ref="M19:N19"/>
    <mergeCell ref="O19:P19"/>
    <mergeCell ref="Q19:R19"/>
    <mergeCell ref="S19:T19"/>
    <mergeCell ref="U19:V19"/>
    <mergeCell ref="W19:X19"/>
  </mergeCells>
  <phoneticPr fontId="0" type="noConversion"/>
  <dataValidations count="3">
    <dataValidation allowBlank="1" showInputMessage="1" showErrorMessage="1" promptTitle="Recepción de muestra" prompt="Espacio para diligenciar en SYP" sqref="F15:F23" xr:uid="{5B8AD0F5-6F6E-47B3-8B21-AC4B69ABD9E2}"/>
    <dataValidation allowBlank="1" showInputMessage="1" showErrorMessage="1" promptTitle="Material sobrante" prompt="Espacio para diligeniciar en Laboratorio SYP" sqref="Y15:Y23" xr:uid="{1156B83B-CDFB-41FE-89E0-0BFCDCD1752D}"/>
    <dataValidation allowBlank="1" showInputMessage="1" showErrorMessage="1" promptTitle="Estimado cliente" prompt="Marque con X la casilla según el ensayo solicitado" sqref="G15:X23" xr:uid="{EDF0D1E5-8304-4D59-9C41-69A5433D2F59}"/>
  </dataValidations>
  <printOptions horizontalCentered="1"/>
  <pageMargins left="0" right="0" top="0" bottom="0.39370078740157483" header="0.19685039370078741" footer="0.19685039370078741"/>
  <pageSetup scale="49" orientation="landscape" blackAndWhite="1" r:id="rId1"/>
  <headerFooter alignWithMargins="0">
    <oddFooter>&amp;C&amp;"Arial,Negrita"&amp;14NO CONTROLADO&amp;R&amp;8&amp;P de &amp;P</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promptTitle="Tipo de muestra" prompt="Estimado cliente, seleccione de la lista desplegable" xr:uid="{5B034079-010E-46A0-A64D-7C8B1EC9BA03}">
          <x14:formula1>
            <xm:f>base!#REF!</xm:f>
          </x14:formula1>
          <xm:sqref>D15:D23</xm:sqref>
        </x14:dataValidation>
        <x14:dataValidation type="list" allowBlank="1" showInputMessage="1" showErrorMessage="1" promptTitle="Código de ensayo" prompt="Seleccione de la lista desplegable o digite código de ensayo" xr:uid="{4AC66760-72E1-49F5-9C10-68F79202D88C}">
          <x14:formula1>
            <xm:f>base!$A$2:$A$199</xm:f>
          </x14:formula1>
          <xm:sqref>I10:X10</xm:sqref>
        </x14:dataValidation>
        <x14:dataValidation type="list" allowBlank="1" showInputMessage="1" showErrorMessage="1" promptTitle="Código de ensayo" prompt="Seleccione de la lista desplegable o digite código de ensayo" xr:uid="{B6E10702-FA5D-488A-A293-F0E011B5EC4C}">
          <x14:formula1>
            <xm:f>base!$A$2:$A$201</xm:f>
          </x14:formula1>
          <xm:sqref>G10:H10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278A-B8BE-43DC-A192-D446D33BD5BA}">
  <sheetPr codeName="Hoja2"/>
  <dimension ref="A1:BB46"/>
  <sheetViews>
    <sheetView showGridLines="0" view="pageBreakPreview" zoomScaleNormal="75" zoomScaleSheetLayoutView="100" zoomScalePageLayoutView="115" workbookViewId="0">
      <selection activeCell="L24" sqref="L24:Q26"/>
    </sheetView>
  </sheetViews>
  <sheetFormatPr baseColWidth="10" defaultColWidth="2.7109375" defaultRowHeight="12.95" customHeight="1" x14ac:dyDescent="0.2"/>
  <cols>
    <col min="1" max="1" width="3" style="11" customWidth="1"/>
    <col min="2" max="2" width="2.42578125" style="11" customWidth="1"/>
    <col min="3" max="8" width="3" style="11" customWidth="1"/>
    <col min="9" max="10" width="2.28515625" style="11" customWidth="1"/>
    <col min="11" max="11" width="2.140625" style="11" customWidth="1"/>
    <col min="12" max="17" width="3" style="11" customWidth="1"/>
    <col min="18" max="18" width="2.140625" style="11" customWidth="1"/>
    <col min="19" max="21" width="3" style="11" customWidth="1"/>
    <col min="22" max="22" width="3.5703125" style="11" customWidth="1"/>
    <col min="23" max="26" width="3" style="11" customWidth="1"/>
    <col min="27" max="28" width="3.7109375" style="11" customWidth="1"/>
    <col min="29" max="29" width="3" style="11" customWidth="1"/>
    <col min="30" max="31" width="3.28515625" style="11" customWidth="1"/>
    <col min="32" max="37" width="2.28515625" style="11" customWidth="1"/>
    <col min="38" max="38" width="2.5703125" style="11" customWidth="1"/>
    <col min="39" max="39" width="2.42578125" style="11" customWidth="1"/>
    <col min="40" max="40" width="3" style="11" customWidth="1"/>
    <col min="41" max="41" width="2.28515625" style="11" customWidth="1"/>
    <col min="42" max="45" width="4.140625" style="11" customWidth="1"/>
    <col min="46" max="48" width="2.28515625" style="11" customWidth="1"/>
    <col min="49" max="49" width="3.7109375" style="11" customWidth="1"/>
    <col min="50" max="50" width="20.5703125" style="11" customWidth="1"/>
    <col min="51" max="53" width="2.7109375" style="11"/>
    <col min="54" max="54" width="12.7109375" style="11" hidden="1" customWidth="1"/>
    <col min="55" max="16384" width="2.7109375" style="11"/>
  </cols>
  <sheetData>
    <row r="1" spans="1:50" ht="12.95" customHeight="1" x14ac:dyDescent="0.2">
      <c r="A1" s="387"/>
      <c r="B1" s="387"/>
      <c r="C1" s="387"/>
      <c r="D1" s="387"/>
      <c r="E1" s="387"/>
      <c r="F1" s="387"/>
      <c r="G1" s="387"/>
      <c r="H1" s="387"/>
      <c r="I1" s="387"/>
      <c r="J1" s="387"/>
      <c r="K1" s="387"/>
      <c r="L1" s="387"/>
      <c r="M1" s="387"/>
      <c r="N1" s="387"/>
      <c r="O1" s="385" t="s">
        <v>306</v>
      </c>
      <c r="P1" s="386"/>
      <c r="Q1" s="386"/>
      <c r="R1" s="386"/>
      <c r="S1" s="386"/>
      <c r="T1" s="386"/>
      <c r="U1" s="386"/>
      <c r="V1" s="386"/>
      <c r="W1" s="386"/>
      <c r="X1" s="386"/>
      <c r="Y1" s="386"/>
      <c r="Z1" s="386"/>
      <c r="AA1" s="386"/>
      <c r="AB1" s="386"/>
      <c r="AC1" s="386"/>
      <c r="AD1" s="386"/>
      <c r="AE1" s="386"/>
      <c r="AF1" s="386"/>
      <c r="AG1" s="386"/>
      <c r="AH1" s="386"/>
      <c r="AI1" s="386"/>
      <c r="AJ1" s="386"/>
      <c r="AK1" s="386"/>
      <c r="AL1" s="386"/>
      <c r="AM1" s="386"/>
      <c r="AN1" s="386"/>
      <c r="AO1" s="386"/>
      <c r="AP1" s="388" t="s">
        <v>199</v>
      </c>
      <c r="AQ1" s="388"/>
      <c r="AR1" s="388"/>
      <c r="AS1" s="388"/>
      <c r="AT1" s="388"/>
      <c r="AU1" s="387"/>
      <c r="AV1" s="387"/>
      <c r="AW1" s="387"/>
      <c r="AX1" s="387"/>
    </row>
    <row r="2" spans="1:50" ht="12.95" customHeight="1" x14ac:dyDescent="0.2">
      <c r="A2" s="387"/>
      <c r="B2" s="387"/>
      <c r="C2" s="387"/>
      <c r="D2" s="387"/>
      <c r="E2" s="387"/>
      <c r="F2" s="387"/>
      <c r="G2" s="387"/>
      <c r="H2" s="387"/>
      <c r="I2" s="387"/>
      <c r="J2" s="387"/>
      <c r="K2" s="387"/>
      <c r="L2" s="387"/>
      <c r="M2" s="387"/>
      <c r="N2" s="387"/>
      <c r="O2" s="386"/>
      <c r="P2" s="386"/>
      <c r="Q2" s="386"/>
      <c r="R2" s="386"/>
      <c r="S2" s="386"/>
      <c r="T2" s="386"/>
      <c r="U2" s="386"/>
      <c r="V2" s="386"/>
      <c r="W2" s="386"/>
      <c r="X2" s="386"/>
      <c r="Y2" s="386"/>
      <c r="Z2" s="386"/>
      <c r="AA2" s="386"/>
      <c r="AB2" s="386"/>
      <c r="AC2" s="386"/>
      <c r="AD2" s="386"/>
      <c r="AE2" s="386"/>
      <c r="AF2" s="386"/>
      <c r="AG2" s="386"/>
      <c r="AH2" s="386"/>
      <c r="AI2" s="386"/>
      <c r="AJ2" s="386"/>
      <c r="AK2" s="386"/>
      <c r="AL2" s="386"/>
      <c r="AM2" s="386"/>
      <c r="AN2" s="386"/>
      <c r="AO2" s="386"/>
      <c r="AP2" s="388" t="s">
        <v>299</v>
      </c>
      <c r="AQ2" s="388"/>
      <c r="AR2" s="388"/>
      <c r="AS2" s="388"/>
      <c r="AT2" s="388"/>
      <c r="AU2" s="389"/>
      <c r="AV2" s="389"/>
      <c r="AW2" s="389"/>
      <c r="AX2" s="389"/>
    </row>
    <row r="3" spans="1:50" ht="12.95" customHeight="1" x14ac:dyDescent="0.2">
      <c r="A3" s="387"/>
      <c r="B3" s="387"/>
      <c r="C3" s="387"/>
      <c r="D3" s="387"/>
      <c r="E3" s="387"/>
      <c r="F3" s="387"/>
      <c r="G3" s="387"/>
      <c r="H3" s="387"/>
      <c r="I3" s="387"/>
      <c r="J3" s="387"/>
      <c r="K3" s="387"/>
      <c r="L3" s="387"/>
      <c r="M3" s="387"/>
      <c r="N3" s="387"/>
      <c r="O3" s="386"/>
      <c r="P3" s="386"/>
      <c r="Q3" s="386"/>
      <c r="R3" s="386"/>
      <c r="S3" s="386"/>
      <c r="T3" s="386"/>
      <c r="U3" s="386"/>
      <c r="V3" s="386"/>
      <c r="W3" s="386"/>
      <c r="X3" s="386"/>
      <c r="Y3" s="386"/>
      <c r="Z3" s="386"/>
      <c r="AA3" s="386"/>
      <c r="AB3" s="386"/>
      <c r="AC3" s="386"/>
      <c r="AD3" s="386"/>
      <c r="AE3" s="386"/>
      <c r="AF3" s="386"/>
      <c r="AG3" s="386"/>
      <c r="AH3" s="386"/>
      <c r="AI3" s="386"/>
      <c r="AJ3" s="386"/>
      <c r="AK3" s="386"/>
      <c r="AL3" s="386"/>
      <c r="AM3" s="386"/>
      <c r="AN3" s="386"/>
      <c r="AO3" s="386"/>
      <c r="AP3" s="388" t="s">
        <v>203</v>
      </c>
      <c r="AQ3" s="388"/>
      <c r="AR3" s="388"/>
      <c r="AS3" s="388"/>
      <c r="AT3" s="388"/>
      <c r="AU3" s="387"/>
      <c r="AV3" s="387"/>
      <c r="AW3" s="387"/>
      <c r="AX3" s="387"/>
    </row>
    <row r="4" spans="1:50" ht="12.95" customHeight="1" x14ac:dyDescent="0.2">
      <c r="A4" s="387"/>
      <c r="B4" s="387"/>
      <c r="C4" s="387"/>
      <c r="D4" s="387"/>
      <c r="E4" s="387"/>
      <c r="F4" s="387"/>
      <c r="G4" s="387"/>
      <c r="H4" s="387"/>
      <c r="I4" s="387"/>
      <c r="J4" s="387"/>
      <c r="K4" s="387"/>
      <c r="L4" s="387"/>
      <c r="M4" s="387"/>
      <c r="N4" s="387"/>
      <c r="O4" s="386"/>
      <c r="P4" s="386"/>
      <c r="Q4" s="386"/>
      <c r="R4" s="386"/>
      <c r="S4" s="386"/>
      <c r="T4" s="386"/>
      <c r="U4" s="386"/>
      <c r="V4" s="386"/>
      <c r="W4" s="386"/>
      <c r="X4" s="386"/>
      <c r="Y4" s="386"/>
      <c r="Z4" s="386"/>
      <c r="AA4" s="386"/>
      <c r="AB4" s="386"/>
      <c r="AC4" s="386"/>
      <c r="AD4" s="386"/>
      <c r="AE4" s="386"/>
      <c r="AF4" s="386"/>
      <c r="AG4" s="386"/>
      <c r="AH4" s="386"/>
      <c r="AI4" s="386"/>
      <c r="AJ4" s="386"/>
      <c r="AK4" s="386"/>
      <c r="AL4" s="386"/>
      <c r="AM4" s="386"/>
      <c r="AN4" s="386"/>
      <c r="AO4" s="386"/>
      <c r="AP4" s="388" t="s">
        <v>200</v>
      </c>
      <c r="AQ4" s="388"/>
      <c r="AR4" s="388"/>
      <c r="AS4" s="388"/>
      <c r="AT4" s="388"/>
      <c r="AU4" s="387"/>
      <c r="AV4" s="387"/>
      <c r="AW4" s="387"/>
      <c r="AX4" s="387"/>
    </row>
    <row r="5" spans="1:50" ht="12.95" customHeight="1" x14ac:dyDescent="0.2">
      <c r="A5" s="387"/>
      <c r="B5" s="387"/>
      <c r="C5" s="387"/>
      <c r="D5" s="387"/>
      <c r="E5" s="387"/>
      <c r="F5" s="387"/>
      <c r="G5" s="387"/>
      <c r="H5" s="387"/>
      <c r="I5" s="387"/>
      <c r="J5" s="387"/>
      <c r="K5" s="387"/>
      <c r="L5" s="387"/>
      <c r="M5" s="387"/>
      <c r="N5" s="387"/>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6"/>
      <c r="AP5" s="388" t="s">
        <v>202</v>
      </c>
      <c r="AQ5" s="388"/>
      <c r="AR5" s="388"/>
      <c r="AS5" s="388"/>
      <c r="AT5" s="388"/>
      <c r="AU5" s="387"/>
      <c r="AV5" s="387"/>
      <c r="AW5" s="387"/>
      <c r="AX5" s="387"/>
    </row>
    <row r="6" spans="1:50" s="12" customFormat="1" ht="11.25" x14ac:dyDescent="0.2">
      <c r="A6" s="244" t="s">
        <v>204</v>
      </c>
      <c r="B6" s="244"/>
      <c r="C6" s="244"/>
      <c r="D6" s="244"/>
      <c r="E6" s="244"/>
      <c r="F6" s="244"/>
      <c r="G6" s="244"/>
      <c r="H6" s="244"/>
      <c r="I6" s="244"/>
      <c r="J6" s="244"/>
      <c r="K6" s="244"/>
      <c r="L6" s="244"/>
      <c r="M6" s="244"/>
      <c r="N6" s="244"/>
      <c r="O6" s="244" t="s">
        <v>721</v>
      </c>
      <c r="P6" s="244"/>
      <c r="Q6" s="244"/>
      <c r="R6" s="244"/>
      <c r="S6" s="244"/>
      <c r="T6" s="244"/>
      <c r="U6" s="244"/>
      <c r="V6" s="244"/>
      <c r="W6" s="244"/>
      <c r="X6" s="244"/>
      <c r="Y6" s="244"/>
      <c r="Z6" s="244"/>
      <c r="AA6" s="244"/>
      <c r="AB6" s="244" t="s">
        <v>718</v>
      </c>
      <c r="AC6" s="244"/>
      <c r="AD6" s="244"/>
      <c r="AE6" s="244"/>
      <c r="AF6" s="244"/>
      <c r="AG6" s="244"/>
      <c r="AH6" s="244"/>
      <c r="AI6" s="244"/>
      <c r="AJ6" s="244"/>
      <c r="AK6" s="244"/>
      <c r="AL6" s="244"/>
      <c r="AM6" s="244"/>
      <c r="AN6" s="244"/>
      <c r="AO6" s="244"/>
      <c r="AP6" s="59"/>
      <c r="AQ6" s="59"/>
      <c r="AR6" s="59"/>
      <c r="AS6" s="59"/>
      <c r="AT6" s="59"/>
      <c r="AU6" s="59"/>
      <c r="AV6" s="59"/>
      <c r="AW6" s="59"/>
      <c r="AX6" s="92"/>
    </row>
    <row r="7" spans="1:50" s="13" customFormat="1" ht="26.25" customHeight="1" x14ac:dyDescent="0.2">
      <c r="A7" s="24" t="s">
        <v>205</v>
      </c>
      <c r="B7" s="50"/>
      <c r="C7" s="50"/>
      <c r="D7" s="50"/>
      <c r="E7" s="98" t="s">
        <v>206</v>
      </c>
      <c r="F7" s="98"/>
      <c r="G7" s="98"/>
      <c r="H7" s="98"/>
      <c r="I7" s="98"/>
      <c r="J7" s="98"/>
      <c r="K7" s="98"/>
      <c r="L7" s="98"/>
      <c r="M7" s="98"/>
      <c r="N7" s="98"/>
      <c r="O7" s="98"/>
      <c r="P7" s="98"/>
      <c r="Q7" s="98"/>
      <c r="R7" s="98"/>
      <c r="S7" s="98"/>
      <c r="T7" s="98"/>
      <c r="U7" s="98"/>
      <c r="V7" s="98"/>
      <c r="W7" s="98"/>
      <c r="X7" s="98"/>
      <c r="Y7" s="98"/>
      <c r="Z7" s="98"/>
      <c r="AA7" s="98"/>
      <c r="AB7" s="257" t="s">
        <v>207</v>
      </c>
      <c r="AC7" s="257"/>
      <c r="AD7" s="257"/>
      <c r="AE7" s="257"/>
      <c r="AF7" s="257"/>
      <c r="AG7" s="257"/>
      <c r="AH7" s="257"/>
      <c r="AI7" s="257"/>
      <c r="AJ7" s="257"/>
      <c r="AK7" s="257"/>
      <c r="AL7" s="258" t="s">
        <v>724</v>
      </c>
      <c r="AM7" s="259"/>
      <c r="AN7" s="259"/>
      <c r="AO7" s="259"/>
      <c r="AP7" s="259"/>
      <c r="AQ7" s="259"/>
      <c r="AR7" s="259"/>
      <c r="AS7" s="260"/>
      <c r="AT7" s="238" t="s">
        <v>725</v>
      </c>
      <c r="AU7" s="239"/>
      <c r="AV7" s="239"/>
      <c r="AW7" s="239"/>
      <c r="AX7" s="240"/>
    </row>
    <row r="8" spans="1:50" s="13" customFormat="1" ht="22.5" customHeight="1" x14ac:dyDescent="0.2">
      <c r="A8" s="18" t="s">
        <v>208</v>
      </c>
      <c r="B8" s="15"/>
      <c r="C8" s="15"/>
      <c r="D8" s="15"/>
      <c r="E8" s="15"/>
      <c r="F8" s="15"/>
      <c r="G8" s="15"/>
      <c r="H8" s="15"/>
      <c r="I8" s="15"/>
      <c r="J8" s="15"/>
      <c r="K8" s="16"/>
      <c r="L8" s="16"/>
      <c r="M8" s="16"/>
      <c r="N8" s="15"/>
      <c r="O8" s="16"/>
      <c r="P8" s="15"/>
      <c r="Q8" s="15"/>
      <c r="R8" s="16"/>
      <c r="S8" s="19"/>
      <c r="T8" s="20"/>
      <c r="U8" s="16"/>
      <c r="V8" s="19"/>
      <c r="W8" s="15"/>
      <c r="X8" s="21"/>
      <c r="Y8" s="21"/>
      <c r="Z8" s="21"/>
      <c r="AA8" s="16"/>
      <c r="AB8" s="16"/>
      <c r="AC8" s="15"/>
      <c r="AD8" s="16"/>
      <c r="AE8" s="16"/>
      <c r="AF8" s="16"/>
      <c r="AG8" s="16"/>
      <c r="AH8" s="16"/>
      <c r="AI8" s="16"/>
      <c r="AJ8" s="16"/>
      <c r="AK8" s="16"/>
      <c r="AL8" s="16"/>
      <c r="AM8" s="16"/>
      <c r="AN8" s="16"/>
      <c r="AO8" s="16"/>
      <c r="AP8" s="16"/>
      <c r="AQ8" s="16"/>
      <c r="AR8" s="16"/>
      <c r="AS8" s="16"/>
      <c r="AT8" s="16"/>
      <c r="AU8" s="16"/>
      <c r="AV8" s="16"/>
      <c r="AW8" s="16"/>
      <c r="AX8" s="17"/>
    </row>
    <row r="9" spans="1:50" s="13" customFormat="1" ht="16.5" customHeight="1" x14ac:dyDescent="0.2">
      <c r="A9" s="14" t="s">
        <v>343</v>
      </c>
      <c r="F9" s="16"/>
      <c r="G9" s="16"/>
      <c r="H9" s="16"/>
      <c r="I9" s="16"/>
      <c r="J9" s="15"/>
      <c r="K9" s="15"/>
      <c r="L9" s="16"/>
      <c r="M9" s="16"/>
      <c r="N9" s="16"/>
      <c r="O9" s="15"/>
      <c r="P9" s="22"/>
      <c r="Q9" s="22"/>
      <c r="R9" s="23"/>
      <c r="S9" s="23"/>
      <c r="T9" s="16"/>
      <c r="U9" s="16" t="s">
        <v>209</v>
      </c>
      <c r="V9" s="16"/>
      <c r="W9" s="16"/>
      <c r="X9" s="16"/>
      <c r="Y9" s="16"/>
      <c r="Z9" s="16"/>
      <c r="AM9" s="13" t="s">
        <v>210</v>
      </c>
      <c r="AV9" s="16"/>
      <c r="AW9" s="16"/>
      <c r="AX9" s="17"/>
    </row>
    <row r="10" spans="1:50" s="13" customFormat="1" ht="18" customHeight="1" x14ac:dyDescent="0.2">
      <c r="A10" s="241" t="s">
        <v>341</v>
      </c>
      <c r="B10" s="242"/>
      <c r="C10" s="242"/>
      <c r="D10" s="242"/>
      <c r="E10" s="242"/>
      <c r="F10" s="242"/>
      <c r="G10" s="242"/>
      <c r="H10" s="242"/>
      <c r="I10" s="242"/>
      <c r="J10" s="242"/>
      <c r="K10" s="242"/>
      <c r="L10" s="242"/>
      <c r="M10" s="242"/>
      <c r="N10" s="242"/>
      <c r="O10" s="242"/>
      <c r="P10" s="242"/>
      <c r="Q10" s="242"/>
      <c r="R10" s="242"/>
      <c r="S10" s="242"/>
      <c r="T10" s="242"/>
      <c r="U10" s="242"/>
      <c r="V10" s="242"/>
      <c r="W10" s="242"/>
      <c r="X10" s="242"/>
      <c r="Y10" s="242"/>
      <c r="Z10" s="242"/>
      <c r="AA10" s="242"/>
      <c r="AB10" s="242"/>
      <c r="AC10" s="242"/>
      <c r="AD10" s="242"/>
      <c r="AE10" s="242"/>
      <c r="AF10" s="242"/>
      <c r="AG10" s="242"/>
      <c r="AH10" s="242"/>
      <c r="AI10" s="242"/>
      <c r="AJ10" s="242"/>
      <c r="AK10" s="242"/>
      <c r="AL10" s="242"/>
      <c r="AM10" s="242"/>
      <c r="AN10" s="242"/>
      <c r="AO10" s="242"/>
      <c r="AP10" s="242"/>
      <c r="AQ10" s="242"/>
      <c r="AR10" s="242"/>
      <c r="AS10" s="242"/>
      <c r="AT10" s="242"/>
      <c r="AU10" s="242"/>
      <c r="AV10" s="242"/>
      <c r="AW10" s="242"/>
      <c r="AX10" s="243"/>
    </row>
    <row r="11" spans="1:50" s="13" customFormat="1" ht="18" customHeight="1" x14ac:dyDescent="0.2">
      <c r="A11" s="24" t="s">
        <v>342</v>
      </c>
      <c r="B11" s="16"/>
      <c r="C11" s="16"/>
      <c r="D11" s="15"/>
      <c r="E11" s="16"/>
      <c r="H11" s="22"/>
      <c r="I11" s="22"/>
      <c r="J11" s="22"/>
      <c r="K11" s="22"/>
      <c r="L11" s="255" t="s">
        <v>211</v>
      </c>
      <c r="M11" s="255"/>
      <c r="N11" s="255"/>
      <c r="O11" s="255"/>
      <c r="P11" s="255"/>
      <c r="Q11" s="255"/>
      <c r="R11" s="255"/>
      <c r="S11" s="255"/>
      <c r="T11" s="255"/>
      <c r="U11" s="255"/>
      <c r="V11" s="255"/>
      <c r="W11" s="255"/>
      <c r="X11" s="255"/>
      <c r="Y11" s="255"/>
      <c r="Z11" s="255"/>
      <c r="AA11" s="255"/>
      <c r="AB11" s="255"/>
      <c r="AC11" s="255"/>
      <c r="AD11" s="255"/>
      <c r="AE11" s="255"/>
      <c r="AF11" s="255"/>
      <c r="AG11" s="255"/>
      <c r="AH11" s="255"/>
      <c r="AI11" s="255"/>
      <c r="AJ11" s="255"/>
      <c r="AK11" s="255"/>
      <c r="AL11" s="255"/>
      <c r="AM11" s="255"/>
      <c r="AN11" s="255"/>
      <c r="AO11" s="255"/>
      <c r="AP11" s="255"/>
      <c r="AQ11" s="255"/>
      <c r="AR11" s="255"/>
      <c r="AS11" s="255"/>
      <c r="AT11" s="255"/>
      <c r="AU11" s="255"/>
      <c r="AV11" s="255"/>
      <c r="AW11" s="255"/>
      <c r="AX11" s="256"/>
    </row>
    <row r="12" spans="1:50" s="13" customFormat="1" ht="26.25" customHeight="1" x14ac:dyDescent="0.2">
      <c r="A12" s="18" t="s">
        <v>5</v>
      </c>
      <c r="B12" s="16"/>
      <c r="C12" s="16"/>
      <c r="D12" s="15"/>
      <c r="E12" s="16"/>
      <c r="F12" s="15"/>
      <c r="G12" s="15"/>
      <c r="H12" s="15"/>
      <c r="I12" s="15"/>
      <c r="J12" s="15"/>
      <c r="K12" s="16"/>
      <c r="L12" s="16"/>
      <c r="M12" s="15"/>
      <c r="N12" s="15"/>
      <c r="O12" s="22"/>
      <c r="P12" s="22"/>
      <c r="Q12" s="23"/>
      <c r="R12" s="23"/>
      <c r="S12" s="23"/>
      <c r="T12" s="20"/>
      <c r="U12" s="16"/>
      <c r="V12" s="19"/>
      <c r="W12" s="15"/>
      <c r="X12" s="21"/>
      <c r="Y12" s="21"/>
      <c r="Z12" s="21"/>
      <c r="AA12" s="16"/>
      <c r="AB12" s="16"/>
      <c r="AC12" s="15"/>
      <c r="AD12" s="16"/>
      <c r="AE12" s="16"/>
      <c r="AF12" s="16"/>
      <c r="AG12" s="16"/>
      <c r="AH12" s="16"/>
      <c r="AI12" s="16"/>
      <c r="AJ12" s="16"/>
      <c r="AK12" s="16"/>
      <c r="AL12" s="16"/>
      <c r="AM12" s="16"/>
      <c r="AN12" s="16"/>
      <c r="AO12" s="16"/>
      <c r="AP12" s="16"/>
      <c r="AQ12" s="16"/>
      <c r="AR12" s="16"/>
      <c r="AS12" s="16"/>
      <c r="AT12" s="16"/>
      <c r="AU12" s="16"/>
      <c r="AV12" s="16"/>
      <c r="AW12" s="16"/>
      <c r="AX12" s="17"/>
    </row>
    <row r="13" spans="1:50" s="13" customFormat="1" ht="35.25" customHeight="1" thickBot="1" x14ac:dyDescent="0.25">
      <c r="A13" s="249" t="s">
        <v>717</v>
      </c>
      <c r="B13" s="250"/>
      <c r="C13" s="250"/>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1"/>
    </row>
    <row r="14" spans="1:50" s="12" customFormat="1" ht="21" customHeight="1" x14ac:dyDescent="0.2">
      <c r="A14" s="246" t="s">
        <v>212</v>
      </c>
      <c r="B14" s="246"/>
      <c r="C14" s="246"/>
      <c r="D14" s="246"/>
      <c r="E14" s="246"/>
      <c r="F14" s="246"/>
      <c r="G14" s="246"/>
      <c r="H14" s="246"/>
      <c r="I14" s="246" t="s">
        <v>213</v>
      </c>
      <c r="J14" s="246"/>
      <c r="K14" s="246"/>
      <c r="L14" s="246"/>
      <c r="M14" s="246"/>
      <c r="N14" s="246"/>
      <c r="O14" s="246"/>
      <c r="P14" s="246"/>
      <c r="Q14" s="246"/>
      <c r="R14" s="246"/>
      <c r="S14" s="246" t="s">
        <v>214</v>
      </c>
      <c r="T14" s="246"/>
      <c r="U14" s="246"/>
      <c r="V14" s="246"/>
      <c r="W14" s="246"/>
      <c r="X14" s="246"/>
      <c r="Y14" s="246"/>
      <c r="Z14" s="246"/>
      <c r="AA14" s="246"/>
      <c r="AB14" s="246"/>
      <c r="AC14" s="246"/>
      <c r="AD14" s="246"/>
      <c r="AE14" s="246"/>
      <c r="AF14" s="246"/>
      <c r="AG14" s="246"/>
      <c r="AH14" s="246"/>
      <c r="AI14" s="246" t="s">
        <v>215</v>
      </c>
      <c r="AJ14" s="246"/>
      <c r="AK14" s="246"/>
      <c r="AL14" s="246"/>
      <c r="AM14" s="246"/>
      <c r="AN14" s="246"/>
      <c r="AO14" s="246"/>
      <c r="AP14" s="246"/>
      <c r="AQ14" s="246"/>
      <c r="AR14" s="247" t="s">
        <v>216</v>
      </c>
      <c r="AS14" s="247"/>
      <c r="AT14" s="247"/>
      <c r="AU14" s="247"/>
      <c r="AV14" s="247"/>
      <c r="AW14" s="247"/>
      <c r="AX14" s="252"/>
    </row>
    <row r="15" spans="1:50" s="12" customFormat="1" ht="12" thickBot="1" x14ac:dyDescent="0.25">
      <c r="A15" s="245" t="s">
        <v>217</v>
      </c>
      <c r="B15" s="245"/>
      <c r="C15" s="245"/>
      <c r="D15" s="25"/>
      <c r="E15" s="254" t="s">
        <v>218</v>
      </c>
      <c r="F15" s="254"/>
      <c r="G15" s="254"/>
      <c r="H15" s="25"/>
      <c r="I15" s="245" t="s">
        <v>219</v>
      </c>
      <c r="J15" s="245"/>
      <c r="K15" s="245"/>
      <c r="L15" s="245"/>
      <c r="M15" s="245"/>
      <c r="N15" s="26"/>
      <c r="O15" s="245" t="s">
        <v>220</v>
      </c>
      <c r="P15" s="245"/>
      <c r="Q15" s="245"/>
      <c r="R15" s="25"/>
      <c r="S15" s="245" t="s">
        <v>221</v>
      </c>
      <c r="T15" s="245"/>
      <c r="U15" s="245"/>
      <c r="V15" s="245"/>
      <c r="W15" s="25"/>
      <c r="X15" s="245" t="s">
        <v>222</v>
      </c>
      <c r="Y15" s="245"/>
      <c r="Z15" s="245"/>
      <c r="AA15" s="245"/>
      <c r="AB15" s="245"/>
      <c r="AC15" s="25"/>
      <c r="AD15" s="245" t="s">
        <v>223</v>
      </c>
      <c r="AE15" s="245"/>
      <c r="AF15" s="245"/>
      <c r="AG15" s="245"/>
      <c r="AH15" s="27"/>
      <c r="AI15" s="25"/>
      <c r="AJ15" s="27" t="s">
        <v>224</v>
      </c>
      <c r="AK15" s="25"/>
      <c r="AL15" s="26"/>
      <c r="AM15" s="245" t="s">
        <v>225</v>
      </c>
      <c r="AN15" s="245"/>
      <c r="AO15" s="245"/>
      <c r="AP15" s="245"/>
      <c r="AQ15" s="27"/>
      <c r="AR15" s="248"/>
      <c r="AS15" s="248"/>
      <c r="AT15" s="248"/>
      <c r="AU15" s="248"/>
      <c r="AV15" s="248"/>
      <c r="AW15" s="248"/>
      <c r="AX15" s="253"/>
    </row>
    <row r="16" spans="1:50" ht="18" customHeight="1" x14ac:dyDescent="0.2">
      <c r="A16" s="267" t="s">
        <v>226</v>
      </c>
      <c r="B16" s="268"/>
      <c r="C16" s="271" t="s">
        <v>227</v>
      </c>
      <c r="D16" s="272"/>
      <c r="E16" s="272"/>
      <c r="F16" s="272"/>
      <c r="G16" s="272"/>
      <c r="H16" s="273"/>
      <c r="I16" s="277" t="s">
        <v>307</v>
      </c>
      <c r="J16" s="278"/>
      <c r="K16" s="279"/>
      <c r="L16" s="283" t="s">
        <v>228</v>
      </c>
      <c r="M16" s="284"/>
      <c r="N16" s="284"/>
      <c r="O16" s="284"/>
      <c r="P16" s="284"/>
      <c r="Q16" s="285"/>
      <c r="R16" s="271" t="s">
        <v>229</v>
      </c>
      <c r="S16" s="273"/>
      <c r="T16" s="286" t="s">
        <v>230</v>
      </c>
      <c r="U16" s="287"/>
      <c r="V16" s="287"/>
      <c r="W16" s="287"/>
      <c r="X16" s="287"/>
      <c r="Y16" s="288"/>
      <c r="Z16" s="297" t="s">
        <v>231</v>
      </c>
      <c r="AA16" s="298"/>
      <c r="AB16" s="298"/>
      <c r="AC16" s="298"/>
      <c r="AD16" s="298"/>
      <c r="AE16" s="299"/>
      <c r="AF16" s="300" t="s">
        <v>232</v>
      </c>
      <c r="AG16" s="300"/>
      <c r="AH16" s="300"/>
      <c r="AI16" s="300"/>
      <c r="AJ16" s="300"/>
      <c r="AK16" s="300"/>
      <c r="AL16" s="300"/>
      <c r="AM16" s="301" t="s">
        <v>233</v>
      </c>
      <c r="AN16" s="302"/>
      <c r="AO16" s="303"/>
      <c r="AP16" s="261" t="s">
        <v>234</v>
      </c>
      <c r="AQ16" s="262"/>
      <c r="AR16" s="262"/>
      <c r="AS16" s="263"/>
      <c r="AT16" s="261" t="s">
        <v>235</v>
      </c>
      <c r="AU16" s="262"/>
      <c r="AV16" s="263"/>
      <c r="AW16" s="261" t="s">
        <v>236</v>
      </c>
      <c r="AX16" s="263"/>
    </row>
    <row r="17" spans="1:54" ht="48.75" thickBot="1" x14ac:dyDescent="0.25">
      <c r="A17" s="269"/>
      <c r="B17" s="270"/>
      <c r="C17" s="274"/>
      <c r="D17" s="275"/>
      <c r="E17" s="275"/>
      <c r="F17" s="275"/>
      <c r="G17" s="275"/>
      <c r="H17" s="276"/>
      <c r="I17" s="280"/>
      <c r="J17" s="281"/>
      <c r="K17" s="282"/>
      <c r="L17" s="289" t="s">
        <v>237</v>
      </c>
      <c r="M17" s="290"/>
      <c r="N17" s="289" t="s">
        <v>238</v>
      </c>
      <c r="O17" s="290"/>
      <c r="P17" s="289" t="s">
        <v>239</v>
      </c>
      <c r="Q17" s="290"/>
      <c r="R17" s="274" t="s">
        <v>240</v>
      </c>
      <c r="S17" s="276"/>
      <c r="T17" s="291" t="s">
        <v>237</v>
      </c>
      <c r="U17" s="292"/>
      <c r="V17" s="291" t="s">
        <v>238</v>
      </c>
      <c r="W17" s="292"/>
      <c r="X17" s="291" t="s">
        <v>239</v>
      </c>
      <c r="Y17" s="292"/>
      <c r="Z17" s="293" t="s">
        <v>241</v>
      </c>
      <c r="AA17" s="294"/>
      <c r="AB17" s="293" t="s">
        <v>242</v>
      </c>
      <c r="AC17" s="294"/>
      <c r="AD17" s="295" t="s">
        <v>243</v>
      </c>
      <c r="AE17" s="296"/>
      <c r="AF17" s="28" t="s">
        <v>244</v>
      </c>
      <c r="AG17" s="28" t="s">
        <v>245</v>
      </c>
      <c r="AH17" s="28" t="s">
        <v>246</v>
      </c>
      <c r="AI17" s="28" t="s">
        <v>247</v>
      </c>
      <c r="AJ17" s="29" t="s">
        <v>248</v>
      </c>
      <c r="AK17" s="28" t="s">
        <v>249</v>
      </c>
      <c r="AL17" s="29" t="s">
        <v>250</v>
      </c>
      <c r="AM17" s="304"/>
      <c r="AN17" s="305"/>
      <c r="AO17" s="306"/>
      <c r="AP17" s="266" t="s">
        <v>304</v>
      </c>
      <c r="AQ17" s="266"/>
      <c r="AR17" s="266" t="s">
        <v>305</v>
      </c>
      <c r="AS17" s="266"/>
      <c r="AT17" s="30" t="s">
        <v>251</v>
      </c>
      <c r="AU17" s="30" t="s">
        <v>252</v>
      </c>
      <c r="AV17" s="30" t="s">
        <v>253</v>
      </c>
      <c r="AW17" s="264"/>
      <c r="AX17" s="265"/>
    </row>
    <row r="18" spans="1:54" ht="9.75" customHeight="1" x14ac:dyDescent="0.2">
      <c r="A18" s="330"/>
      <c r="B18" s="331"/>
      <c r="C18" s="330"/>
      <c r="D18" s="331"/>
      <c r="E18" s="331"/>
      <c r="F18" s="331"/>
      <c r="G18" s="331"/>
      <c r="H18" s="335"/>
      <c r="I18" s="330"/>
      <c r="J18" s="331"/>
      <c r="K18" s="335"/>
      <c r="L18" s="338"/>
      <c r="M18" s="339"/>
      <c r="N18" s="339"/>
      <c r="O18" s="339"/>
      <c r="P18" s="339"/>
      <c r="Q18" s="340"/>
      <c r="R18" s="330"/>
      <c r="S18" s="335"/>
      <c r="T18" s="347" t="str">
        <f>IF(L18&gt;0,IFERROR(L18+R18," ")," ")</f>
        <v xml:space="preserve"> </v>
      </c>
      <c r="U18" s="348"/>
      <c r="V18" s="348"/>
      <c r="W18" s="348"/>
      <c r="X18" s="348"/>
      <c r="Y18" s="349"/>
      <c r="Z18" s="317"/>
      <c r="AA18" s="319"/>
      <c r="AB18" s="317"/>
      <c r="AC18" s="319"/>
      <c r="AD18" s="317"/>
      <c r="AE18" s="319"/>
      <c r="AF18" s="314"/>
      <c r="AG18" s="314"/>
      <c r="AH18" s="314"/>
      <c r="AI18" s="314"/>
      <c r="AJ18" s="31"/>
      <c r="AK18" s="31"/>
      <c r="AL18" s="314"/>
      <c r="AM18" s="317"/>
      <c r="AN18" s="318"/>
      <c r="AO18" s="319"/>
      <c r="AP18" s="326"/>
      <c r="AQ18" s="327"/>
      <c r="AR18" s="328"/>
      <c r="AS18" s="329"/>
      <c r="AT18" s="314"/>
      <c r="AU18" s="314"/>
      <c r="AV18" s="314"/>
      <c r="AW18" s="328"/>
      <c r="AX18" s="329"/>
      <c r="BB18" s="307" t="e">
        <f>WEEKDAY(T18,2)</f>
        <v>#VALUE!</v>
      </c>
    </row>
    <row r="19" spans="1:54" ht="9.75" customHeight="1" x14ac:dyDescent="0.2">
      <c r="A19" s="332"/>
      <c r="B19" s="307"/>
      <c r="C19" s="332"/>
      <c r="D19" s="307"/>
      <c r="E19" s="307"/>
      <c r="F19" s="307"/>
      <c r="G19" s="307"/>
      <c r="H19" s="336"/>
      <c r="I19" s="332"/>
      <c r="J19" s="307"/>
      <c r="K19" s="336"/>
      <c r="L19" s="341"/>
      <c r="M19" s="342"/>
      <c r="N19" s="342"/>
      <c r="O19" s="342"/>
      <c r="P19" s="342"/>
      <c r="Q19" s="343"/>
      <c r="R19" s="332"/>
      <c r="S19" s="336"/>
      <c r="T19" s="350"/>
      <c r="U19" s="351"/>
      <c r="V19" s="351"/>
      <c r="W19" s="351"/>
      <c r="X19" s="351"/>
      <c r="Y19" s="352"/>
      <c r="Z19" s="320"/>
      <c r="AA19" s="322"/>
      <c r="AB19" s="320"/>
      <c r="AC19" s="322"/>
      <c r="AD19" s="320"/>
      <c r="AE19" s="322"/>
      <c r="AF19" s="315"/>
      <c r="AG19" s="315"/>
      <c r="AH19" s="315"/>
      <c r="AI19" s="315"/>
      <c r="AJ19" s="32"/>
      <c r="AK19" s="32"/>
      <c r="AL19" s="315"/>
      <c r="AM19" s="320"/>
      <c r="AN19" s="321"/>
      <c r="AO19" s="322"/>
      <c r="AP19" s="308"/>
      <c r="AQ19" s="309"/>
      <c r="AR19" s="308"/>
      <c r="AS19" s="310"/>
      <c r="AT19" s="315"/>
      <c r="AU19" s="315"/>
      <c r="AV19" s="315"/>
      <c r="AW19" s="308"/>
      <c r="AX19" s="310"/>
      <c r="BB19" s="307"/>
    </row>
    <row r="20" spans="1:54" ht="9.75" customHeight="1" thickBot="1" x14ac:dyDescent="0.25">
      <c r="A20" s="333"/>
      <c r="B20" s="334"/>
      <c r="C20" s="333"/>
      <c r="D20" s="334"/>
      <c r="E20" s="334"/>
      <c r="F20" s="334"/>
      <c r="G20" s="334"/>
      <c r="H20" s="337"/>
      <c r="I20" s="333"/>
      <c r="J20" s="334"/>
      <c r="K20" s="337"/>
      <c r="L20" s="344"/>
      <c r="M20" s="345"/>
      <c r="N20" s="345"/>
      <c r="O20" s="345"/>
      <c r="P20" s="345"/>
      <c r="Q20" s="346"/>
      <c r="R20" s="333"/>
      <c r="S20" s="337"/>
      <c r="T20" s="353"/>
      <c r="U20" s="354"/>
      <c r="V20" s="354"/>
      <c r="W20" s="354"/>
      <c r="X20" s="354"/>
      <c r="Y20" s="355"/>
      <c r="Z20" s="323"/>
      <c r="AA20" s="325"/>
      <c r="AB20" s="323"/>
      <c r="AC20" s="325"/>
      <c r="AD20" s="323"/>
      <c r="AE20" s="325"/>
      <c r="AF20" s="316"/>
      <c r="AG20" s="316"/>
      <c r="AH20" s="316"/>
      <c r="AI20" s="316"/>
      <c r="AJ20" s="33"/>
      <c r="AK20" s="33"/>
      <c r="AL20" s="316"/>
      <c r="AM20" s="323"/>
      <c r="AN20" s="324"/>
      <c r="AO20" s="325"/>
      <c r="AP20" s="311"/>
      <c r="AQ20" s="312"/>
      <c r="AR20" s="311"/>
      <c r="AS20" s="313"/>
      <c r="AT20" s="316"/>
      <c r="AU20" s="316"/>
      <c r="AV20" s="316"/>
      <c r="AW20" s="311"/>
      <c r="AX20" s="313"/>
      <c r="BB20" s="307"/>
    </row>
    <row r="21" spans="1:54" ht="9.75" customHeight="1" x14ac:dyDescent="0.2">
      <c r="A21" s="332"/>
      <c r="B21" s="307"/>
      <c r="C21" s="332"/>
      <c r="D21" s="307"/>
      <c r="E21" s="307"/>
      <c r="F21" s="307"/>
      <c r="G21" s="307"/>
      <c r="H21" s="336"/>
      <c r="I21" s="332"/>
      <c r="J21" s="307"/>
      <c r="K21" s="336"/>
      <c r="L21" s="338"/>
      <c r="M21" s="339"/>
      <c r="N21" s="339"/>
      <c r="O21" s="339"/>
      <c r="P21" s="339"/>
      <c r="Q21" s="340"/>
      <c r="R21" s="332"/>
      <c r="S21" s="336"/>
      <c r="T21" s="347" t="str">
        <f t="shared" ref="T21" si="0">IF(L21&gt;0,IFERROR(L21+R21," ")," ")</f>
        <v xml:space="preserve"> </v>
      </c>
      <c r="U21" s="348"/>
      <c r="V21" s="348"/>
      <c r="W21" s="348"/>
      <c r="X21" s="348"/>
      <c r="Y21" s="349"/>
      <c r="Z21" s="320"/>
      <c r="AA21" s="322"/>
      <c r="AB21" s="320"/>
      <c r="AC21" s="322"/>
      <c r="AD21" s="320"/>
      <c r="AE21" s="322"/>
      <c r="AF21" s="315"/>
      <c r="AG21" s="315"/>
      <c r="AH21" s="315"/>
      <c r="AI21" s="315"/>
      <c r="AJ21" s="32"/>
      <c r="AK21" s="32"/>
      <c r="AL21" s="315"/>
      <c r="AM21" s="320"/>
      <c r="AN21" s="321"/>
      <c r="AO21" s="322"/>
      <c r="AP21" s="361"/>
      <c r="AQ21" s="362"/>
      <c r="AR21" s="356"/>
      <c r="AS21" s="357"/>
      <c r="AT21" s="314"/>
      <c r="AU21" s="314"/>
      <c r="AV21" s="314"/>
      <c r="AW21" s="356"/>
      <c r="AX21" s="357"/>
      <c r="BB21" s="307" t="e">
        <f t="shared" ref="BB21" si="1">WEEKDAY(T21,2)</f>
        <v>#VALUE!</v>
      </c>
    </row>
    <row r="22" spans="1:54" ht="9.75" customHeight="1" x14ac:dyDescent="0.2">
      <c r="A22" s="332"/>
      <c r="B22" s="307"/>
      <c r="C22" s="332"/>
      <c r="D22" s="307"/>
      <c r="E22" s="307"/>
      <c r="F22" s="307"/>
      <c r="G22" s="307"/>
      <c r="H22" s="336"/>
      <c r="I22" s="332"/>
      <c r="J22" s="307"/>
      <c r="K22" s="336"/>
      <c r="L22" s="341"/>
      <c r="M22" s="342"/>
      <c r="N22" s="342"/>
      <c r="O22" s="342"/>
      <c r="P22" s="342"/>
      <c r="Q22" s="343"/>
      <c r="R22" s="332"/>
      <c r="S22" s="336"/>
      <c r="T22" s="350"/>
      <c r="U22" s="351"/>
      <c r="V22" s="351"/>
      <c r="W22" s="351"/>
      <c r="X22" s="351"/>
      <c r="Y22" s="352"/>
      <c r="Z22" s="320"/>
      <c r="AA22" s="322"/>
      <c r="AB22" s="320"/>
      <c r="AC22" s="322"/>
      <c r="AD22" s="320"/>
      <c r="AE22" s="322"/>
      <c r="AF22" s="315"/>
      <c r="AG22" s="315"/>
      <c r="AH22" s="315"/>
      <c r="AI22" s="315"/>
      <c r="AJ22" s="32"/>
      <c r="AK22" s="32"/>
      <c r="AL22" s="315"/>
      <c r="AM22" s="320"/>
      <c r="AN22" s="321"/>
      <c r="AO22" s="322"/>
      <c r="AP22" s="308"/>
      <c r="AQ22" s="309"/>
      <c r="AR22" s="308"/>
      <c r="AS22" s="310"/>
      <c r="AT22" s="315"/>
      <c r="AU22" s="315"/>
      <c r="AV22" s="315"/>
      <c r="AW22" s="308"/>
      <c r="AX22" s="310"/>
      <c r="BB22" s="307"/>
    </row>
    <row r="23" spans="1:54" ht="9.75" customHeight="1" thickBot="1" x14ac:dyDescent="0.25">
      <c r="A23" s="332"/>
      <c r="B23" s="307"/>
      <c r="C23" s="332"/>
      <c r="D23" s="307"/>
      <c r="E23" s="307"/>
      <c r="F23" s="307"/>
      <c r="G23" s="307"/>
      <c r="H23" s="336"/>
      <c r="I23" s="332"/>
      <c r="J23" s="307"/>
      <c r="K23" s="336"/>
      <c r="L23" s="344"/>
      <c r="M23" s="345"/>
      <c r="N23" s="345"/>
      <c r="O23" s="345"/>
      <c r="P23" s="345"/>
      <c r="Q23" s="346"/>
      <c r="R23" s="332"/>
      <c r="S23" s="336"/>
      <c r="T23" s="353"/>
      <c r="U23" s="354"/>
      <c r="V23" s="354"/>
      <c r="W23" s="354"/>
      <c r="X23" s="354"/>
      <c r="Y23" s="355"/>
      <c r="Z23" s="320"/>
      <c r="AA23" s="322"/>
      <c r="AB23" s="320"/>
      <c r="AC23" s="322"/>
      <c r="AD23" s="320"/>
      <c r="AE23" s="322"/>
      <c r="AF23" s="315"/>
      <c r="AG23" s="315"/>
      <c r="AH23" s="315"/>
      <c r="AI23" s="315"/>
      <c r="AJ23" s="32"/>
      <c r="AK23" s="32"/>
      <c r="AL23" s="315"/>
      <c r="AM23" s="320"/>
      <c r="AN23" s="321"/>
      <c r="AO23" s="322"/>
      <c r="AP23" s="358"/>
      <c r="AQ23" s="359"/>
      <c r="AR23" s="358"/>
      <c r="AS23" s="360"/>
      <c r="AT23" s="316"/>
      <c r="AU23" s="316"/>
      <c r="AV23" s="316"/>
      <c r="AW23" s="358"/>
      <c r="AX23" s="360"/>
      <c r="BB23" s="307"/>
    </row>
    <row r="24" spans="1:54" ht="9.75" customHeight="1" x14ac:dyDescent="0.2">
      <c r="A24" s="330"/>
      <c r="B24" s="331"/>
      <c r="C24" s="330"/>
      <c r="D24" s="331"/>
      <c r="E24" s="331"/>
      <c r="F24" s="331"/>
      <c r="G24" s="331"/>
      <c r="H24" s="335"/>
      <c r="I24" s="330"/>
      <c r="J24" s="331"/>
      <c r="K24" s="335"/>
      <c r="L24" s="338"/>
      <c r="M24" s="339"/>
      <c r="N24" s="339"/>
      <c r="O24" s="339"/>
      <c r="P24" s="339"/>
      <c r="Q24" s="340"/>
      <c r="R24" s="330"/>
      <c r="S24" s="335"/>
      <c r="T24" s="347" t="str">
        <f t="shared" ref="T24" si="2">IF(L24&gt;0,IFERROR(L24+R24," ")," ")</f>
        <v xml:space="preserve"> </v>
      </c>
      <c r="U24" s="348"/>
      <c r="V24" s="348"/>
      <c r="W24" s="348"/>
      <c r="X24" s="348"/>
      <c r="Y24" s="349"/>
      <c r="Z24" s="317"/>
      <c r="AA24" s="319"/>
      <c r="AB24" s="317"/>
      <c r="AC24" s="319"/>
      <c r="AD24" s="317"/>
      <c r="AE24" s="319"/>
      <c r="AF24" s="314"/>
      <c r="AG24" s="314"/>
      <c r="AH24" s="314"/>
      <c r="AI24" s="314"/>
      <c r="AJ24" s="31"/>
      <c r="AK24" s="31"/>
      <c r="AL24" s="314"/>
      <c r="AM24" s="317"/>
      <c r="AN24" s="318"/>
      <c r="AO24" s="319"/>
      <c r="AP24" s="326"/>
      <c r="AQ24" s="327"/>
      <c r="AR24" s="328"/>
      <c r="AS24" s="329"/>
      <c r="AT24" s="314"/>
      <c r="AU24" s="314"/>
      <c r="AV24" s="314"/>
      <c r="AW24" s="328"/>
      <c r="AX24" s="329"/>
      <c r="BB24" s="307" t="e">
        <f t="shared" ref="BB24" si="3">WEEKDAY(T24,2)</f>
        <v>#VALUE!</v>
      </c>
    </row>
    <row r="25" spans="1:54" ht="9.75" customHeight="1" x14ac:dyDescent="0.2">
      <c r="A25" s="332"/>
      <c r="B25" s="307"/>
      <c r="C25" s="332"/>
      <c r="D25" s="307"/>
      <c r="E25" s="307"/>
      <c r="F25" s="307"/>
      <c r="G25" s="307"/>
      <c r="H25" s="336"/>
      <c r="I25" s="332"/>
      <c r="J25" s="307"/>
      <c r="K25" s="336"/>
      <c r="L25" s="341"/>
      <c r="M25" s="342"/>
      <c r="N25" s="342"/>
      <c r="O25" s="342"/>
      <c r="P25" s="342"/>
      <c r="Q25" s="343"/>
      <c r="R25" s="332"/>
      <c r="S25" s="336"/>
      <c r="T25" s="350"/>
      <c r="U25" s="351"/>
      <c r="V25" s="351"/>
      <c r="W25" s="351"/>
      <c r="X25" s="351"/>
      <c r="Y25" s="352"/>
      <c r="Z25" s="320"/>
      <c r="AA25" s="322"/>
      <c r="AB25" s="320"/>
      <c r="AC25" s="322"/>
      <c r="AD25" s="320"/>
      <c r="AE25" s="322"/>
      <c r="AF25" s="315"/>
      <c r="AG25" s="315"/>
      <c r="AH25" s="315"/>
      <c r="AI25" s="315"/>
      <c r="AJ25" s="32"/>
      <c r="AK25" s="32"/>
      <c r="AL25" s="315"/>
      <c r="AM25" s="320"/>
      <c r="AN25" s="321"/>
      <c r="AO25" s="322"/>
      <c r="AP25" s="308"/>
      <c r="AQ25" s="309"/>
      <c r="AR25" s="308"/>
      <c r="AS25" s="310"/>
      <c r="AT25" s="315"/>
      <c r="AU25" s="315"/>
      <c r="AV25" s="315"/>
      <c r="AW25" s="308"/>
      <c r="AX25" s="310"/>
      <c r="BB25" s="307"/>
    </row>
    <row r="26" spans="1:54" ht="9.75" customHeight="1" thickBot="1" x14ac:dyDescent="0.25">
      <c r="A26" s="333"/>
      <c r="B26" s="334"/>
      <c r="C26" s="333"/>
      <c r="D26" s="334"/>
      <c r="E26" s="334"/>
      <c r="F26" s="334"/>
      <c r="G26" s="334"/>
      <c r="H26" s="337"/>
      <c r="I26" s="333"/>
      <c r="J26" s="334"/>
      <c r="K26" s="337"/>
      <c r="L26" s="344"/>
      <c r="M26" s="345"/>
      <c r="N26" s="345"/>
      <c r="O26" s="345"/>
      <c r="P26" s="345"/>
      <c r="Q26" s="346"/>
      <c r="R26" s="333"/>
      <c r="S26" s="337"/>
      <c r="T26" s="353"/>
      <c r="U26" s="354"/>
      <c r="V26" s="354"/>
      <c r="W26" s="354"/>
      <c r="X26" s="354"/>
      <c r="Y26" s="355"/>
      <c r="Z26" s="323"/>
      <c r="AA26" s="325"/>
      <c r="AB26" s="323"/>
      <c r="AC26" s="325"/>
      <c r="AD26" s="323"/>
      <c r="AE26" s="325"/>
      <c r="AF26" s="316"/>
      <c r="AG26" s="316"/>
      <c r="AH26" s="316"/>
      <c r="AI26" s="316"/>
      <c r="AJ26" s="33"/>
      <c r="AK26" s="33"/>
      <c r="AL26" s="316"/>
      <c r="AM26" s="323"/>
      <c r="AN26" s="324"/>
      <c r="AO26" s="325"/>
      <c r="AP26" s="311"/>
      <c r="AQ26" s="312"/>
      <c r="AR26" s="311"/>
      <c r="AS26" s="313"/>
      <c r="AT26" s="316"/>
      <c r="AU26" s="316"/>
      <c r="AV26" s="316"/>
      <c r="AW26" s="311"/>
      <c r="AX26" s="313"/>
      <c r="BB26" s="307"/>
    </row>
    <row r="27" spans="1:54" ht="9.75" customHeight="1" x14ac:dyDescent="0.2">
      <c r="A27" s="332"/>
      <c r="B27" s="307"/>
      <c r="C27" s="332"/>
      <c r="D27" s="307"/>
      <c r="E27" s="307"/>
      <c r="F27" s="307"/>
      <c r="G27" s="307"/>
      <c r="H27" s="336"/>
      <c r="I27" s="332"/>
      <c r="J27" s="307"/>
      <c r="K27" s="336"/>
      <c r="L27" s="338"/>
      <c r="M27" s="339"/>
      <c r="N27" s="339"/>
      <c r="O27" s="339"/>
      <c r="P27" s="339"/>
      <c r="Q27" s="340"/>
      <c r="R27" s="330"/>
      <c r="S27" s="335"/>
      <c r="T27" s="347" t="str">
        <f t="shared" ref="T27" si="4">IF(L27&gt;0,IFERROR(L27+R27," ")," ")</f>
        <v xml:space="preserve"> </v>
      </c>
      <c r="U27" s="348"/>
      <c r="V27" s="348"/>
      <c r="W27" s="348"/>
      <c r="X27" s="348"/>
      <c r="Y27" s="349"/>
      <c r="Z27" s="320"/>
      <c r="AA27" s="322"/>
      <c r="AB27" s="320"/>
      <c r="AC27" s="322"/>
      <c r="AD27" s="320"/>
      <c r="AE27" s="322"/>
      <c r="AF27" s="315"/>
      <c r="AG27" s="315"/>
      <c r="AH27" s="315"/>
      <c r="AI27" s="315"/>
      <c r="AJ27" s="32"/>
      <c r="AK27" s="32"/>
      <c r="AL27" s="315"/>
      <c r="AM27" s="320"/>
      <c r="AN27" s="321"/>
      <c r="AO27" s="322"/>
      <c r="AP27" s="361"/>
      <c r="AQ27" s="362"/>
      <c r="AR27" s="356"/>
      <c r="AS27" s="357"/>
      <c r="AT27" s="314"/>
      <c r="AU27" s="314"/>
      <c r="AV27" s="314"/>
      <c r="AW27" s="356"/>
      <c r="AX27" s="357"/>
      <c r="BB27" s="307" t="e">
        <f t="shared" ref="BB27" si="5">WEEKDAY(T27,2)</f>
        <v>#VALUE!</v>
      </c>
    </row>
    <row r="28" spans="1:54" ht="9.75" customHeight="1" x14ac:dyDescent="0.2">
      <c r="A28" s="332"/>
      <c r="B28" s="307"/>
      <c r="C28" s="332"/>
      <c r="D28" s="307"/>
      <c r="E28" s="307"/>
      <c r="F28" s="307"/>
      <c r="G28" s="307"/>
      <c r="H28" s="336"/>
      <c r="I28" s="332"/>
      <c r="J28" s="307"/>
      <c r="K28" s="336"/>
      <c r="L28" s="341"/>
      <c r="M28" s="342"/>
      <c r="N28" s="342"/>
      <c r="O28" s="342"/>
      <c r="P28" s="342"/>
      <c r="Q28" s="343"/>
      <c r="R28" s="332"/>
      <c r="S28" s="336"/>
      <c r="T28" s="350"/>
      <c r="U28" s="351"/>
      <c r="V28" s="351"/>
      <c r="W28" s="351"/>
      <c r="X28" s="351"/>
      <c r="Y28" s="352"/>
      <c r="Z28" s="320"/>
      <c r="AA28" s="322"/>
      <c r="AB28" s="320"/>
      <c r="AC28" s="322"/>
      <c r="AD28" s="320"/>
      <c r="AE28" s="322"/>
      <c r="AF28" s="315"/>
      <c r="AG28" s="315"/>
      <c r="AH28" s="315"/>
      <c r="AI28" s="315"/>
      <c r="AJ28" s="32"/>
      <c r="AK28" s="32"/>
      <c r="AL28" s="315"/>
      <c r="AM28" s="320"/>
      <c r="AN28" s="321"/>
      <c r="AO28" s="322"/>
      <c r="AP28" s="308"/>
      <c r="AQ28" s="309"/>
      <c r="AR28" s="308"/>
      <c r="AS28" s="310"/>
      <c r="AT28" s="315"/>
      <c r="AU28" s="315"/>
      <c r="AV28" s="315"/>
      <c r="AW28" s="308"/>
      <c r="AX28" s="310"/>
      <c r="BB28" s="307"/>
    </row>
    <row r="29" spans="1:54" ht="9.75" customHeight="1" thickBot="1" x14ac:dyDescent="0.25">
      <c r="A29" s="332"/>
      <c r="B29" s="307"/>
      <c r="C29" s="332"/>
      <c r="D29" s="307"/>
      <c r="E29" s="307"/>
      <c r="F29" s="307"/>
      <c r="G29" s="307"/>
      <c r="H29" s="336"/>
      <c r="I29" s="332"/>
      <c r="J29" s="307"/>
      <c r="K29" s="336"/>
      <c r="L29" s="344"/>
      <c r="M29" s="345"/>
      <c r="N29" s="345"/>
      <c r="O29" s="345"/>
      <c r="P29" s="345"/>
      <c r="Q29" s="346"/>
      <c r="R29" s="333"/>
      <c r="S29" s="337"/>
      <c r="T29" s="353"/>
      <c r="U29" s="354"/>
      <c r="V29" s="354"/>
      <c r="W29" s="354"/>
      <c r="X29" s="354"/>
      <c r="Y29" s="355"/>
      <c r="Z29" s="320"/>
      <c r="AA29" s="322"/>
      <c r="AB29" s="320"/>
      <c r="AC29" s="322"/>
      <c r="AD29" s="320"/>
      <c r="AE29" s="322"/>
      <c r="AF29" s="315"/>
      <c r="AG29" s="315"/>
      <c r="AH29" s="315"/>
      <c r="AI29" s="315"/>
      <c r="AJ29" s="32"/>
      <c r="AK29" s="32"/>
      <c r="AL29" s="315"/>
      <c r="AM29" s="320"/>
      <c r="AN29" s="321"/>
      <c r="AO29" s="322"/>
      <c r="AP29" s="358"/>
      <c r="AQ29" s="359"/>
      <c r="AR29" s="358"/>
      <c r="AS29" s="360"/>
      <c r="AT29" s="316"/>
      <c r="AU29" s="316"/>
      <c r="AV29" s="316"/>
      <c r="AW29" s="358"/>
      <c r="AX29" s="360"/>
      <c r="BB29" s="307"/>
    </row>
    <row r="30" spans="1:54" ht="9.75" customHeight="1" x14ac:dyDescent="0.2">
      <c r="A30" s="330"/>
      <c r="B30" s="331"/>
      <c r="C30" s="34"/>
      <c r="D30" s="35"/>
      <c r="E30" s="35"/>
      <c r="F30" s="35"/>
      <c r="G30" s="35"/>
      <c r="H30" s="36"/>
      <c r="I30" s="34"/>
      <c r="J30" s="35"/>
      <c r="K30" s="36"/>
      <c r="L30" s="338"/>
      <c r="M30" s="339"/>
      <c r="N30" s="339"/>
      <c r="O30" s="339"/>
      <c r="P30" s="339"/>
      <c r="Q30" s="340"/>
      <c r="R30" s="330"/>
      <c r="S30" s="335"/>
      <c r="T30" s="347" t="str">
        <f t="shared" ref="T30" si="6">IF(L30&gt;0,IFERROR(L30+R30," ")," ")</f>
        <v xml:space="preserve"> </v>
      </c>
      <c r="U30" s="348"/>
      <c r="V30" s="348"/>
      <c r="W30" s="348"/>
      <c r="X30" s="348"/>
      <c r="Y30" s="349"/>
      <c r="Z30" s="317"/>
      <c r="AA30" s="319"/>
      <c r="AB30" s="317"/>
      <c r="AC30" s="319"/>
      <c r="AD30" s="317"/>
      <c r="AE30" s="319"/>
      <c r="AF30" s="314"/>
      <c r="AG30" s="314"/>
      <c r="AH30" s="314"/>
      <c r="AI30" s="314"/>
      <c r="AJ30" s="31"/>
      <c r="AK30" s="31"/>
      <c r="AL30" s="314"/>
      <c r="AM30" s="317"/>
      <c r="AN30" s="318"/>
      <c r="AO30" s="319"/>
      <c r="AP30" s="326"/>
      <c r="AQ30" s="327"/>
      <c r="AR30" s="328"/>
      <c r="AS30" s="329"/>
      <c r="AT30" s="314"/>
      <c r="AU30" s="314"/>
      <c r="AV30" s="314"/>
      <c r="AW30" s="328"/>
      <c r="AX30" s="329"/>
      <c r="BB30" s="307" t="e">
        <f t="shared" ref="BB30" si="7">WEEKDAY(T30,2)</f>
        <v>#VALUE!</v>
      </c>
    </row>
    <row r="31" spans="1:54" ht="9.75" customHeight="1" x14ac:dyDescent="0.2">
      <c r="A31" s="332"/>
      <c r="B31" s="307"/>
      <c r="C31" s="37"/>
      <c r="D31" s="51"/>
      <c r="E31" s="51"/>
      <c r="F31" s="51"/>
      <c r="G31" s="51"/>
      <c r="H31" s="38"/>
      <c r="I31" s="37"/>
      <c r="J31" s="51"/>
      <c r="K31" s="38"/>
      <c r="L31" s="341"/>
      <c r="M31" s="342"/>
      <c r="N31" s="342"/>
      <c r="O31" s="342"/>
      <c r="P31" s="342"/>
      <c r="Q31" s="343"/>
      <c r="R31" s="332"/>
      <c r="S31" s="336"/>
      <c r="T31" s="350"/>
      <c r="U31" s="351"/>
      <c r="V31" s="351"/>
      <c r="W31" s="351"/>
      <c r="X31" s="351"/>
      <c r="Y31" s="352"/>
      <c r="Z31" s="320"/>
      <c r="AA31" s="322"/>
      <c r="AB31" s="320"/>
      <c r="AC31" s="322"/>
      <c r="AD31" s="320"/>
      <c r="AE31" s="322"/>
      <c r="AF31" s="315"/>
      <c r="AG31" s="315"/>
      <c r="AH31" s="315"/>
      <c r="AI31" s="315"/>
      <c r="AJ31" s="32"/>
      <c r="AK31" s="32"/>
      <c r="AL31" s="315"/>
      <c r="AM31" s="320"/>
      <c r="AN31" s="321"/>
      <c r="AO31" s="322"/>
      <c r="AP31" s="308"/>
      <c r="AQ31" s="309"/>
      <c r="AR31" s="308"/>
      <c r="AS31" s="310"/>
      <c r="AT31" s="315"/>
      <c r="AU31" s="315"/>
      <c r="AV31" s="315"/>
      <c r="AW31" s="308"/>
      <c r="AX31" s="310"/>
      <c r="BB31" s="307"/>
    </row>
    <row r="32" spans="1:54" ht="9.75" customHeight="1" thickBot="1" x14ac:dyDescent="0.25">
      <c r="A32" s="333"/>
      <c r="B32" s="334"/>
      <c r="C32" s="39"/>
      <c r="D32" s="40"/>
      <c r="E32" s="40"/>
      <c r="F32" s="40"/>
      <c r="G32" s="40"/>
      <c r="H32" s="41"/>
      <c r="I32" s="39"/>
      <c r="J32" s="40"/>
      <c r="K32" s="41"/>
      <c r="L32" s="344"/>
      <c r="M32" s="345"/>
      <c r="N32" s="345"/>
      <c r="O32" s="345"/>
      <c r="P32" s="345"/>
      <c r="Q32" s="346"/>
      <c r="R32" s="333"/>
      <c r="S32" s="337"/>
      <c r="T32" s="353"/>
      <c r="U32" s="354"/>
      <c r="V32" s="354"/>
      <c r="W32" s="354"/>
      <c r="X32" s="354"/>
      <c r="Y32" s="355"/>
      <c r="Z32" s="323"/>
      <c r="AA32" s="325"/>
      <c r="AB32" s="323"/>
      <c r="AC32" s="325"/>
      <c r="AD32" s="323"/>
      <c r="AE32" s="325"/>
      <c r="AF32" s="316"/>
      <c r="AG32" s="316"/>
      <c r="AH32" s="316"/>
      <c r="AI32" s="316"/>
      <c r="AJ32" s="33"/>
      <c r="AK32" s="33"/>
      <c r="AL32" s="316"/>
      <c r="AM32" s="323"/>
      <c r="AN32" s="324"/>
      <c r="AO32" s="325"/>
      <c r="AP32" s="311"/>
      <c r="AQ32" s="312"/>
      <c r="AR32" s="311"/>
      <c r="AS32" s="313"/>
      <c r="AT32" s="316"/>
      <c r="AU32" s="316"/>
      <c r="AV32" s="316"/>
      <c r="AW32" s="311"/>
      <c r="AX32" s="313"/>
      <c r="BB32" s="307"/>
    </row>
    <row r="33" spans="1:54" ht="9.75" customHeight="1" x14ac:dyDescent="0.2">
      <c r="A33" s="332"/>
      <c r="B33" s="307"/>
      <c r="C33" s="332"/>
      <c r="D33" s="307"/>
      <c r="E33" s="307"/>
      <c r="F33" s="307"/>
      <c r="G33" s="307"/>
      <c r="H33" s="336"/>
      <c r="I33" s="332"/>
      <c r="J33" s="307"/>
      <c r="K33" s="336"/>
      <c r="L33" s="338"/>
      <c r="M33" s="339"/>
      <c r="N33" s="339"/>
      <c r="O33" s="339"/>
      <c r="P33" s="339"/>
      <c r="Q33" s="340"/>
      <c r="R33" s="330"/>
      <c r="S33" s="335"/>
      <c r="T33" s="347" t="str">
        <f t="shared" ref="T33" si="8">IF(L33&gt;0,IFERROR(L33+R33," ")," ")</f>
        <v xml:space="preserve"> </v>
      </c>
      <c r="U33" s="348"/>
      <c r="V33" s="348"/>
      <c r="W33" s="348"/>
      <c r="X33" s="348"/>
      <c r="Y33" s="349"/>
      <c r="Z33" s="320"/>
      <c r="AA33" s="322"/>
      <c r="AB33" s="320"/>
      <c r="AC33" s="322"/>
      <c r="AD33" s="320"/>
      <c r="AE33" s="322"/>
      <c r="AF33" s="315"/>
      <c r="AG33" s="315"/>
      <c r="AH33" s="315"/>
      <c r="AI33" s="315"/>
      <c r="AJ33" s="32"/>
      <c r="AK33" s="32"/>
      <c r="AL33" s="315"/>
      <c r="AM33" s="320"/>
      <c r="AN33" s="321"/>
      <c r="AO33" s="322"/>
      <c r="AP33" s="361"/>
      <c r="AQ33" s="362"/>
      <c r="AR33" s="356"/>
      <c r="AS33" s="357"/>
      <c r="AT33" s="314"/>
      <c r="AU33" s="314"/>
      <c r="AV33" s="314"/>
      <c r="AW33" s="356"/>
      <c r="AX33" s="357"/>
      <c r="BB33" s="307" t="e">
        <f t="shared" ref="BB33" si="9">WEEKDAY(T33,2)</f>
        <v>#VALUE!</v>
      </c>
    </row>
    <row r="34" spans="1:54" ht="9.75" customHeight="1" x14ac:dyDescent="0.2">
      <c r="A34" s="332"/>
      <c r="B34" s="307"/>
      <c r="C34" s="332"/>
      <c r="D34" s="307"/>
      <c r="E34" s="307"/>
      <c r="F34" s="307"/>
      <c r="G34" s="307"/>
      <c r="H34" s="336"/>
      <c r="I34" s="332"/>
      <c r="J34" s="307"/>
      <c r="K34" s="336"/>
      <c r="L34" s="341"/>
      <c r="M34" s="342"/>
      <c r="N34" s="342"/>
      <c r="O34" s="342"/>
      <c r="P34" s="342"/>
      <c r="Q34" s="343"/>
      <c r="R34" s="332"/>
      <c r="S34" s="336"/>
      <c r="T34" s="350"/>
      <c r="U34" s="351"/>
      <c r="V34" s="351"/>
      <c r="W34" s="351"/>
      <c r="X34" s="351"/>
      <c r="Y34" s="352"/>
      <c r="Z34" s="320"/>
      <c r="AA34" s="322"/>
      <c r="AB34" s="320"/>
      <c r="AC34" s="322"/>
      <c r="AD34" s="320"/>
      <c r="AE34" s="322"/>
      <c r="AF34" s="315"/>
      <c r="AG34" s="315"/>
      <c r="AH34" s="315"/>
      <c r="AI34" s="315"/>
      <c r="AJ34" s="32"/>
      <c r="AK34" s="32"/>
      <c r="AL34" s="315"/>
      <c r="AM34" s="320"/>
      <c r="AN34" s="321"/>
      <c r="AO34" s="322"/>
      <c r="AP34" s="308"/>
      <c r="AQ34" s="309"/>
      <c r="AR34" s="308"/>
      <c r="AS34" s="310"/>
      <c r="AT34" s="315"/>
      <c r="AU34" s="315"/>
      <c r="AV34" s="315"/>
      <c r="AW34" s="308"/>
      <c r="AX34" s="310"/>
      <c r="BB34" s="307"/>
    </row>
    <row r="35" spans="1:54" ht="9.75" customHeight="1" thickBot="1" x14ac:dyDescent="0.25">
      <c r="A35" s="332"/>
      <c r="B35" s="307"/>
      <c r="C35" s="332"/>
      <c r="D35" s="307"/>
      <c r="E35" s="307"/>
      <c r="F35" s="307"/>
      <c r="G35" s="307"/>
      <c r="H35" s="336"/>
      <c r="I35" s="332"/>
      <c r="J35" s="307"/>
      <c r="K35" s="336"/>
      <c r="L35" s="344"/>
      <c r="M35" s="345"/>
      <c r="N35" s="345"/>
      <c r="O35" s="345"/>
      <c r="P35" s="345"/>
      <c r="Q35" s="346"/>
      <c r="R35" s="333"/>
      <c r="S35" s="337"/>
      <c r="T35" s="353"/>
      <c r="U35" s="354"/>
      <c r="V35" s="354"/>
      <c r="W35" s="354"/>
      <c r="X35" s="354"/>
      <c r="Y35" s="355"/>
      <c r="Z35" s="320"/>
      <c r="AA35" s="322"/>
      <c r="AB35" s="320"/>
      <c r="AC35" s="322"/>
      <c r="AD35" s="320"/>
      <c r="AE35" s="322"/>
      <c r="AF35" s="315"/>
      <c r="AG35" s="315"/>
      <c r="AH35" s="315"/>
      <c r="AI35" s="315"/>
      <c r="AJ35" s="32"/>
      <c r="AK35" s="32"/>
      <c r="AL35" s="315"/>
      <c r="AM35" s="320"/>
      <c r="AN35" s="321"/>
      <c r="AO35" s="322"/>
      <c r="AP35" s="358"/>
      <c r="AQ35" s="359"/>
      <c r="AR35" s="358"/>
      <c r="AS35" s="360"/>
      <c r="AT35" s="316"/>
      <c r="AU35" s="316"/>
      <c r="AV35" s="316"/>
      <c r="AW35" s="358"/>
      <c r="AX35" s="360"/>
      <c r="BB35" s="307"/>
    </row>
    <row r="36" spans="1:54" ht="9.75" customHeight="1" x14ac:dyDescent="0.2">
      <c r="A36" s="330"/>
      <c r="B36" s="331"/>
      <c r="C36" s="330"/>
      <c r="D36" s="331"/>
      <c r="E36" s="331"/>
      <c r="F36" s="331"/>
      <c r="G36" s="331"/>
      <c r="H36" s="335"/>
      <c r="I36" s="330"/>
      <c r="J36" s="331"/>
      <c r="K36" s="335"/>
      <c r="L36" s="338"/>
      <c r="M36" s="339"/>
      <c r="N36" s="339"/>
      <c r="O36" s="339"/>
      <c r="P36" s="339"/>
      <c r="Q36" s="340"/>
      <c r="R36" s="330"/>
      <c r="S36" s="335"/>
      <c r="T36" s="347" t="str">
        <f t="shared" ref="T36" si="10">IF(L36&gt;0,IFERROR(L36+R36," ")," ")</f>
        <v xml:space="preserve"> </v>
      </c>
      <c r="U36" s="348"/>
      <c r="V36" s="348"/>
      <c r="W36" s="348"/>
      <c r="X36" s="348"/>
      <c r="Y36" s="349"/>
      <c r="Z36" s="317"/>
      <c r="AA36" s="319"/>
      <c r="AB36" s="317"/>
      <c r="AC36" s="319"/>
      <c r="AD36" s="317"/>
      <c r="AE36" s="319"/>
      <c r="AF36" s="314"/>
      <c r="AG36" s="314"/>
      <c r="AH36" s="314"/>
      <c r="AI36" s="314"/>
      <c r="AJ36" s="31"/>
      <c r="AK36" s="31"/>
      <c r="AL36" s="314"/>
      <c r="AM36" s="317"/>
      <c r="AN36" s="318"/>
      <c r="AO36" s="319"/>
      <c r="AP36" s="326"/>
      <c r="AQ36" s="327"/>
      <c r="AR36" s="328"/>
      <c r="AS36" s="329"/>
      <c r="AT36" s="314"/>
      <c r="AU36" s="314"/>
      <c r="AV36" s="314"/>
      <c r="AW36" s="328"/>
      <c r="AX36" s="329"/>
      <c r="BB36" s="307" t="e">
        <f t="shared" ref="BB36" si="11">WEEKDAY(T36,2)</f>
        <v>#VALUE!</v>
      </c>
    </row>
    <row r="37" spans="1:54" ht="9.75" customHeight="1" x14ac:dyDescent="0.2">
      <c r="A37" s="332"/>
      <c r="B37" s="307"/>
      <c r="C37" s="332"/>
      <c r="D37" s="307"/>
      <c r="E37" s="307"/>
      <c r="F37" s="307"/>
      <c r="G37" s="307"/>
      <c r="H37" s="336"/>
      <c r="I37" s="332"/>
      <c r="J37" s="307"/>
      <c r="K37" s="336"/>
      <c r="L37" s="341"/>
      <c r="M37" s="342"/>
      <c r="N37" s="342"/>
      <c r="O37" s="342"/>
      <c r="P37" s="342"/>
      <c r="Q37" s="343"/>
      <c r="R37" s="332"/>
      <c r="S37" s="336"/>
      <c r="T37" s="350"/>
      <c r="U37" s="351"/>
      <c r="V37" s="351"/>
      <c r="W37" s="351"/>
      <c r="X37" s="351"/>
      <c r="Y37" s="352"/>
      <c r="Z37" s="320"/>
      <c r="AA37" s="322"/>
      <c r="AB37" s="320"/>
      <c r="AC37" s="322"/>
      <c r="AD37" s="320"/>
      <c r="AE37" s="322"/>
      <c r="AF37" s="315"/>
      <c r="AG37" s="315"/>
      <c r="AH37" s="315"/>
      <c r="AI37" s="315"/>
      <c r="AJ37" s="32"/>
      <c r="AK37" s="32"/>
      <c r="AL37" s="315"/>
      <c r="AM37" s="320"/>
      <c r="AN37" s="321"/>
      <c r="AO37" s="322"/>
      <c r="AP37" s="308"/>
      <c r="AQ37" s="309"/>
      <c r="AR37" s="308"/>
      <c r="AS37" s="310"/>
      <c r="AT37" s="315"/>
      <c r="AU37" s="315"/>
      <c r="AV37" s="315"/>
      <c r="AW37" s="308"/>
      <c r="AX37" s="310"/>
      <c r="BB37" s="307"/>
    </row>
    <row r="38" spans="1:54" ht="9.75" customHeight="1" thickBot="1" x14ac:dyDescent="0.25">
      <c r="A38" s="333"/>
      <c r="B38" s="334"/>
      <c r="C38" s="333"/>
      <c r="D38" s="334"/>
      <c r="E38" s="334"/>
      <c r="F38" s="334"/>
      <c r="G38" s="334"/>
      <c r="H38" s="337"/>
      <c r="I38" s="333"/>
      <c r="J38" s="334"/>
      <c r="K38" s="337"/>
      <c r="L38" s="344"/>
      <c r="M38" s="345"/>
      <c r="N38" s="345"/>
      <c r="O38" s="345"/>
      <c r="P38" s="345"/>
      <c r="Q38" s="346"/>
      <c r="R38" s="333"/>
      <c r="S38" s="337"/>
      <c r="T38" s="353"/>
      <c r="U38" s="354"/>
      <c r="V38" s="354"/>
      <c r="W38" s="354"/>
      <c r="X38" s="354"/>
      <c r="Y38" s="355"/>
      <c r="Z38" s="323"/>
      <c r="AA38" s="325"/>
      <c r="AB38" s="323"/>
      <c r="AC38" s="325"/>
      <c r="AD38" s="323"/>
      <c r="AE38" s="325"/>
      <c r="AF38" s="316"/>
      <c r="AG38" s="316"/>
      <c r="AH38" s="316"/>
      <c r="AI38" s="316"/>
      <c r="AJ38" s="33"/>
      <c r="AK38" s="33"/>
      <c r="AL38" s="316"/>
      <c r="AM38" s="323"/>
      <c r="AN38" s="324"/>
      <c r="AO38" s="325"/>
      <c r="AP38" s="311"/>
      <c r="AQ38" s="312"/>
      <c r="AR38" s="311"/>
      <c r="AS38" s="313"/>
      <c r="AT38" s="316"/>
      <c r="AU38" s="316"/>
      <c r="AV38" s="316"/>
      <c r="AW38" s="311"/>
      <c r="AX38" s="313"/>
      <c r="BB38" s="307"/>
    </row>
    <row r="39" spans="1:54" ht="9.75" customHeight="1" x14ac:dyDescent="0.2">
      <c r="A39" s="34"/>
      <c r="B39" s="35"/>
      <c r="C39" s="34"/>
      <c r="D39" s="35"/>
      <c r="E39" s="35"/>
      <c r="F39" s="35"/>
      <c r="G39" s="35"/>
      <c r="H39" s="36"/>
      <c r="I39" s="34"/>
      <c r="J39" s="35"/>
      <c r="K39" s="36"/>
      <c r="L39" s="338"/>
      <c r="M39" s="339"/>
      <c r="N39" s="339"/>
      <c r="O39" s="339"/>
      <c r="P39" s="339"/>
      <c r="Q39" s="340"/>
      <c r="R39" s="330"/>
      <c r="S39" s="335"/>
      <c r="T39" s="347" t="str">
        <f t="shared" ref="T39" si="12">IF(L39&gt;0,IFERROR(L39+R39," ")," ")</f>
        <v xml:space="preserve"> </v>
      </c>
      <c r="U39" s="348"/>
      <c r="V39" s="348"/>
      <c r="W39" s="348"/>
      <c r="X39" s="348"/>
      <c r="Y39" s="349"/>
      <c r="Z39" s="317"/>
      <c r="AA39" s="319"/>
      <c r="AB39" s="317"/>
      <c r="AC39" s="319"/>
      <c r="AD39" s="317"/>
      <c r="AE39" s="319"/>
      <c r="AF39" s="314"/>
      <c r="AG39" s="314"/>
      <c r="AH39" s="314"/>
      <c r="AI39" s="314"/>
      <c r="AJ39" s="31"/>
      <c r="AK39" s="31"/>
      <c r="AL39" s="314"/>
      <c r="AM39" s="317"/>
      <c r="AN39" s="318"/>
      <c r="AO39" s="319"/>
      <c r="AP39" s="326"/>
      <c r="AQ39" s="327"/>
      <c r="AR39" s="328"/>
      <c r="AS39" s="329"/>
      <c r="AT39" s="314"/>
      <c r="AU39" s="314"/>
      <c r="AV39" s="314"/>
      <c r="AW39" s="328"/>
      <c r="AX39" s="329"/>
      <c r="BB39" s="307" t="e">
        <f t="shared" ref="BB39" si="13">WEEKDAY(T39,2)</f>
        <v>#VALUE!</v>
      </c>
    </row>
    <row r="40" spans="1:54" ht="9.75" customHeight="1" x14ac:dyDescent="0.2">
      <c r="A40" s="37"/>
      <c r="B40" s="51"/>
      <c r="C40" s="37"/>
      <c r="D40" s="51"/>
      <c r="E40" s="51"/>
      <c r="F40" s="51"/>
      <c r="G40" s="51"/>
      <c r="H40" s="38"/>
      <c r="I40" s="37"/>
      <c r="J40" s="51"/>
      <c r="K40" s="38"/>
      <c r="L40" s="341"/>
      <c r="M40" s="342"/>
      <c r="N40" s="342"/>
      <c r="O40" s="342"/>
      <c r="P40" s="342"/>
      <c r="Q40" s="343"/>
      <c r="R40" s="332"/>
      <c r="S40" s="336"/>
      <c r="T40" s="350"/>
      <c r="U40" s="351"/>
      <c r="V40" s="351"/>
      <c r="W40" s="351"/>
      <c r="X40" s="351"/>
      <c r="Y40" s="352"/>
      <c r="Z40" s="320"/>
      <c r="AA40" s="322"/>
      <c r="AB40" s="320"/>
      <c r="AC40" s="322"/>
      <c r="AD40" s="320"/>
      <c r="AE40" s="322"/>
      <c r="AF40" s="315"/>
      <c r="AG40" s="315"/>
      <c r="AH40" s="315"/>
      <c r="AI40" s="315"/>
      <c r="AJ40" s="32"/>
      <c r="AK40" s="32"/>
      <c r="AL40" s="315"/>
      <c r="AM40" s="320"/>
      <c r="AN40" s="321"/>
      <c r="AO40" s="322"/>
      <c r="AP40" s="308"/>
      <c r="AQ40" s="309"/>
      <c r="AR40" s="308"/>
      <c r="AS40" s="310"/>
      <c r="AT40" s="315"/>
      <c r="AU40" s="315"/>
      <c r="AV40" s="315"/>
      <c r="AW40" s="308"/>
      <c r="AX40" s="310"/>
      <c r="BB40" s="307"/>
    </row>
    <row r="41" spans="1:54" ht="9.75" customHeight="1" x14ac:dyDescent="0.2">
      <c r="A41" s="55"/>
      <c r="B41" s="56"/>
      <c r="C41" s="55"/>
      <c r="D41" s="56"/>
      <c r="E41" s="56"/>
      <c r="F41" s="56"/>
      <c r="G41" s="56"/>
      <c r="H41" s="57"/>
      <c r="I41" s="55"/>
      <c r="J41" s="56"/>
      <c r="K41" s="57"/>
      <c r="L41" s="363"/>
      <c r="M41" s="364"/>
      <c r="N41" s="364"/>
      <c r="O41" s="364"/>
      <c r="P41" s="364"/>
      <c r="Q41" s="365"/>
      <c r="R41" s="366"/>
      <c r="S41" s="367"/>
      <c r="T41" s="368"/>
      <c r="U41" s="369"/>
      <c r="V41" s="369"/>
      <c r="W41" s="369"/>
      <c r="X41" s="369"/>
      <c r="Y41" s="370"/>
      <c r="Z41" s="356"/>
      <c r="AA41" s="357"/>
      <c r="AB41" s="356"/>
      <c r="AC41" s="357"/>
      <c r="AD41" s="356"/>
      <c r="AE41" s="357"/>
      <c r="AF41" s="374"/>
      <c r="AG41" s="374"/>
      <c r="AH41" s="374"/>
      <c r="AI41" s="374"/>
      <c r="AJ41" s="58"/>
      <c r="AK41" s="58"/>
      <c r="AL41" s="374"/>
      <c r="AM41" s="356"/>
      <c r="AN41" s="375"/>
      <c r="AO41" s="357"/>
      <c r="AP41" s="308"/>
      <c r="AQ41" s="309"/>
      <c r="AR41" s="308"/>
      <c r="AS41" s="310"/>
      <c r="AT41" s="374"/>
      <c r="AU41" s="374"/>
      <c r="AV41" s="374"/>
      <c r="AW41" s="308"/>
      <c r="AX41" s="310"/>
      <c r="BB41" s="307"/>
    </row>
    <row r="42" spans="1:54" ht="24" customHeight="1" x14ac:dyDescent="0.2">
      <c r="A42" s="373" t="s">
        <v>254</v>
      </c>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row>
    <row r="43" spans="1:54" s="52" customFormat="1" ht="20.25" customHeight="1" x14ac:dyDescent="0.2">
      <c r="A43" s="52" t="s">
        <v>2</v>
      </c>
      <c r="F43" s="372"/>
      <c r="G43" s="372"/>
      <c r="H43" s="372"/>
      <c r="I43" s="372"/>
      <c r="J43" s="372"/>
      <c r="K43" s="372"/>
      <c r="L43" s="372"/>
      <c r="M43" s="372"/>
      <c r="O43" s="382" t="s">
        <v>4</v>
      </c>
      <c r="P43" s="382"/>
      <c r="Q43" s="382"/>
      <c r="R43" s="382"/>
      <c r="S43" s="382"/>
      <c r="T43" s="382"/>
      <c r="U43" s="382"/>
      <c r="V43" s="372"/>
      <c r="W43" s="372"/>
      <c r="X43" s="372"/>
      <c r="Y43" s="372"/>
      <c r="Z43" s="372"/>
      <c r="AA43" s="372"/>
      <c r="AB43" s="377" t="s">
        <v>300</v>
      </c>
      <c r="AC43" s="377"/>
      <c r="AD43" s="377"/>
      <c r="AE43" s="377"/>
      <c r="AF43" s="377"/>
      <c r="AG43" s="377"/>
      <c r="AH43" s="54"/>
      <c r="AJ43" s="45"/>
      <c r="AK43" s="45"/>
      <c r="AL43" s="45"/>
      <c r="AM43" s="45"/>
      <c r="AN43" s="45"/>
      <c r="AO43" s="45"/>
      <c r="AP43" s="377" t="s">
        <v>301</v>
      </c>
      <c r="AQ43" s="377"/>
      <c r="AR43" s="377"/>
      <c r="AS43" s="54"/>
      <c r="AT43" s="381"/>
      <c r="AU43" s="381"/>
      <c r="AV43" s="381"/>
      <c r="AW43" s="381"/>
      <c r="AX43" s="381"/>
    </row>
    <row r="44" spans="1:54" ht="16.5" customHeight="1" x14ac:dyDescent="0.2">
      <c r="E44" s="371" t="s">
        <v>3</v>
      </c>
      <c r="F44" s="371"/>
      <c r="G44" s="371"/>
      <c r="H44" s="371"/>
      <c r="I44" s="371"/>
      <c r="J44" s="371"/>
      <c r="K44" s="371"/>
      <c r="L44" s="371"/>
      <c r="M44" s="371"/>
      <c r="O44" s="383" t="s">
        <v>7</v>
      </c>
      <c r="P44" s="383"/>
      <c r="Q44" s="383"/>
      <c r="R44" s="383"/>
      <c r="S44" s="383"/>
      <c r="T44" s="383"/>
      <c r="U44" s="383"/>
      <c r="V44" s="384"/>
      <c r="W44" s="384"/>
      <c r="X44" s="384"/>
      <c r="Y44" s="384"/>
      <c r="Z44" s="384"/>
      <c r="AA44" s="384"/>
      <c r="AB44" s="383" t="s">
        <v>7</v>
      </c>
      <c r="AC44" s="383"/>
      <c r="AD44" s="383"/>
      <c r="AE44" s="383"/>
      <c r="AF44" s="383"/>
      <c r="AG44" s="383"/>
      <c r="AH44" s="384"/>
      <c r="AI44" s="384"/>
      <c r="AJ44" s="384"/>
      <c r="AK44" s="384"/>
      <c r="AL44" s="384"/>
      <c r="AM44" s="384"/>
      <c r="AN44" s="384"/>
      <c r="AO44" s="384"/>
      <c r="AS44" s="376" t="s">
        <v>6</v>
      </c>
      <c r="AT44" s="376"/>
      <c r="AU44" s="376"/>
      <c r="AV44" s="376"/>
      <c r="AW44" s="376"/>
      <c r="AX44" s="376"/>
    </row>
    <row r="45" spans="1:54" ht="16.5" customHeight="1" x14ac:dyDescent="0.2">
      <c r="N45" s="53"/>
      <c r="O45" s="383" t="s">
        <v>309</v>
      </c>
      <c r="P45" s="383"/>
      <c r="Q45" s="383"/>
      <c r="R45" s="383"/>
      <c r="S45" s="383"/>
      <c r="T45" s="383"/>
      <c r="U45" s="383"/>
      <c r="V45" s="364"/>
      <c r="W45" s="364"/>
      <c r="X45" s="364"/>
      <c r="Y45" s="364"/>
      <c r="Z45" s="364"/>
      <c r="AA45" s="364"/>
      <c r="AE45" s="371"/>
      <c r="AF45" s="371"/>
      <c r="AG45" s="371"/>
      <c r="AH45" s="371"/>
      <c r="AI45" s="371"/>
      <c r="AJ45" s="371"/>
      <c r="AK45" s="371"/>
      <c r="AL45" s="371"/>
      <c r="AM45" s="371"/>
      <c r="AN45" s="371"/>
      <c r="AO45" s="371"/>
      <c r="AP45" s="378" t="s">
        <v>302</v>
      </c>
      <c r="AQ45" s="378"/>
      <c r="AR45" s="378"/>
      <c r="AS45" s="379"/>
      <c r="AT45" s="379"/>
      <c r="AU45" s="379"/>
      <c r="AV45" s="379"/>
      <c r="AW45" s="379"/>
      <c r="AX45" s="379"/>
    </row>
    <row r="46" spans="1:54" ht="16.5" customHeight="1" x14ac:dyDescent="0.2">
      <c r="AS46" s="380" t="s">
        <v>303</v>
      </c>
      <c r="AT46" s="380"/>
      <c r="AU46" s="380"/>
      <c r="AV46" s="380"/>
      <c r="AW46" s="380"/>
      <c r="AX46" s="380"/>
    </row>
  </sheetData>
  <sheetProtection password="E724" sheet="1" formatCells="0" formatColumns="0" formatRows="0" insertColumns="0" insertRows="0" insertHyperlinks="0" sort="0" autoFilter="0" pivotTables="0"/>
  <mergeCells count="298">
    <mergeCell ref="O1:AO5"/>
    <mergeCell ref="A1:N5"/>
    <mergeCell ref="AP1:AT1"/>
    <mergeCell ref="AP2:AT2"/>
    <mergeCell ref="AP3:AT3"/>
    <mergeCell ref="AP4:AT4"/>
    <mergeCell ref="AP5:AT5"/>
    <mergeCell ref="AU1:AX1"/>
    <mergeCell ref="AU2:AX2"/>
    <mergeCell ref="AU3:AX3"/>
    <mergeCell ref="AU4:AX4"/>
    <mergeCell ref="AU5:AX5"/>
    <mergeCell ref="AS44:AX44"/>
    <mergeCell ref="AP43:AR43"/>
    <mergeCell ref="AP45:AR45"/>
    <mergeCell ref="AS45:AX45"/>
    <mergeCell ref="AS46:AX46"/>
    <mergeCell ref="AT43:AX43"/>
    <mergeCell ref="O43:U43"/>
    <mergeCell ref="V43:AA43"/>
    <mergeCell ref="V45:AA45"/>
    <mergeCell ref="O44:U44"/>
    <mergeCell ref="AB43:AG43"/>
    <mergeCell ref="AB44:AG44"/>
    <mergeCell ref="V44:AA44"/>
    <mergeCell ref="AH44:AO44"/>
    <mergeCell ref="O45:U45"/>
    <mergeCell ref="E44:M44"/>
    <mergeCell ref="F43:M43"/>
    <mergeCell ref="A42:AX42"/>
    <mergeCell ref="AE45:AM45"/>
    <mergeCell ref="AN45:AO45"/>
    <mergeCell ref="BB39:BB41"/>
    <mergeCell ref="AP40:AQ40"/>
    <mergeCell ref="AR40:AS40"/>
    <mergeCell ref="AW40:AX40"/>
    <mergeCell ref="AP41:AQ41"/>
    <mergeCell ref="AR41:AS41"/>
    <mergeCell ref="AW41:AX41"/>
    <mergeCell ref="AP39:AQ39"/>
    <mergeCell ref="AR39:AS39"/>
    <mergeCell ref="AT39:AT41"/>
    <mergeCell ref="AU39:AU41"/>
    <mergeCell ref="AV39:AV41"/>
    <mergeCell ref="AW39:AX39"/>
    <mergeCell ref="AF39:AF41"/>
    <mergeCell ref="AG39:AG41"/>
    <mergeCell ref="AH39:AH41"/>
    <mergeCell ref="AI39:AI41"/>
    <mergeCell ref="AL39:AL41"/>
    <mergeCell ref="AM39:AO41"/>
    <mergeCell ref="L39:Q41"/>
    <mergeCell ref="R39:S41"/>
    <mergeCell ref="T39:Y41"/>
    <mergeCell ref="Z39:AA41"/>
    <mergeCell ref="AB39:AC41"/>
    <mergeCell ref="AD39:AE41"/>
    <mergeCell ref="AU36:AU38"/>
    <mergeCell ref="AV36:AV38"/>
    <mergeCell ref="AW36:AX36"/>
    <mergeCell ref="Z36:AA38"/>
    <mergeCell ref="AB36:AC38"/>
    <mergeCell ref="AD36:AE38"/>
    <mergeCell ref="AF36:AF38"/>
    <mergeCell ref="AG36:AG38"/>
    <mergeCell ref="AH36:AH38"/>
    <mergeCell ref="BB36:BB38"/>
    <mergeCell ref="AP37:AQ37"/>
    <mergeCell ref="AR37:AS37"/>
    <mergeCell ref="AW37:AX37"/>
    <mergeCell ref="AP38:AQ38"/>
    <mergeCell ref="AR38:AS38"/>
    <mergeCell ref="AW38:AX38"/>
    <mergeCell ref="AI36:AI38"/>
    <mergeCell ref="AL36:AL38"/>
    <mergeCell ref="AM36:AO38"/>
    <mergeCell ref="AP36:AQ36"/>
    <mergeCell ref="AR36:AS36"/>
    <mergeCell ref="AT36:AT38"/>
    <mergeCell ref="A36:B38"/>
    <mergeCell ref="C36:H38"/>
    <mergeCell ref="I36:K38"/>
    <mergeCell ref="L36:Q38"/>
    <mergeCell ref="R36:S38"/>
    <mergeCell ref="T36:Y38"/>
    <mergeCell ref="AU33:AU35"/>
    <mergeCell ref="AV33:AV35"/>
    <mergeCell ref="AW33:AX33"/>
    <mergeCell ref="Z33:AA35"/>
    <mergeCell ref="AB33:AC35"/>
    <mergeCell ref="AD33:AE35"/>
    <mergeCell ref="AF33:AF35"/>
    <mergeCell ref="AG33:AG35"/>
    <mergeCell ref="AH33:AH35"/>
    <mergeCell ref="A33:B35"/>
    <mergeCell ref="C33:H35"/>
    <mergeCell ref="I33:K35"/>
    <mergeCell ref="L33:Q35"/>
    <mergeCell ref="R33:S35"/>
    <mergeCell ref="T33:Y35"/>
    <mergeCell ref="BB33:BB35"/>
    <mergeCell ref="AP34:AQ34"/>
    <mergeCell ref="AR34:AS34"/>
    <mergeCell ref="AW34:AX34"/>
    <mergeCell ref="AP35:AQ35"/>
    <mergeCell ref="AR35:AS35"/>
    <mergeCell ref="AW35:AX35"/>
    <mergeCell ref="AI33:AI35"/>
    <mergeCell ref="AL33:AL35"/>
    <mergeCell ref="AM33:AO35"/>
    <mergeCell ref="AP33:AQ33"/>
    <mergeCell ref="AR33:AS33"/>
    <mergeCell ref="AT33:AT35"/>
    <mergeCell ref="AW30:AX30"/>
    <mergeCell ref="BB30:BB32"/>
    <mergeCell ref="AP31:AQ31"/>
    <mergeCell ref="AR31:AS31"/>
    <mergeCell ref="AW31:AX31"/>
    <mergeCell ref="AP32:AQ32"/>
    <mergeCell ref="AR32:AS32"/>
    <mergeCell ref="AW32:AX32"/>
    <mergeCell ref="AM30:AO32"/>
    <mergeCell ref="AP30:AQ30"/>
    <mergeCell ref="AR30:AS30"/>
    <mergeCell ref="AT30:AT32"/>
    <mergeCell ref="AU30:AU32"/>
    <mergeCell ref="AV30:AV32"/>
    <mergeCell ref="AD30:AE32"/>
    <mergeCell ref="AF30:AF32"/>
    <mergeCell ref="AG30:AG32"/>
    <mergeCell ref="AH30:AH32"/>
    <mergeCell ref="AI30:AI32"/>
    <mergeCell ref="AL30:AL32"/>
    <mergeCell ref="A30:B32"/>
    <mergeCell ref="L30:Q32"/>
    <mergeCell ref="R30:S32"/>
    <mergeCell ref="T30:Y32"/>
    <mergeCell ref="Z30:AA32"/>
    <mergeCell ref="AB30:AC32"/>
    <mergeCell ref="L27:Q29"/>
    <mergeCell ref="R27:S29"/>
    <mergeCell ref="T27:Y29"/>
    <mergeCell ref="AU27:AU29"/>
    <mergeCell ref="AV27:AV29"/>
    <mergeCell ref="AW27:AX27"/>
    <mergeCell ref="BB27:BB29"/>
    <mergeCell ref="AP28:AQ28"/>
    <mergeCell ref="AR28:AS28"/>
    <mergeCell ref="AW28:AX28"/>
    <mergeCell ref="AP29:AQ29"/>
    <mergeCell ref="AR29:AS29"/>
    <mergeCell ref="AW29:AX29"/>
    <mergeCell ref="AP27:AQ27"/>
    <mergeCell ref="AR27:AS27"/>
    <mergeCell ref="AT27:AT29"/>
    <mergeCell ref="A24:B26"/>
    <mergeCell ref="C24:H26"/>
    <mergeCell ref="I24:K26"/>
    <mergeCell ref="L24:Q26"/>
    <mergeCell ref="R24:S26"/>
    <mergeCell ref="T24:Y26"/>
    <mergeCell ref="AI27:AI29"/>
    <mergeCell ref="AL27:AL29"/>
    <mergeCell ref="AM27:AO29"/>
    <mergeCell ref="Z24:AA26"/>
    <mergeCell ref="AB24:AC26"/>
    <mergeCell ref="AD24:AE26"/>
    <mergeCell ref="AF24:AF26"/>
    <mergeCell ref="AG24:AG26"/>
    <mergeCell ref="AH24:AH26"/>
    <mergeCell ref="Z27:AA29"/>
    <mergeCell ref="AB27:AC29"/>
    <mergeCell ref="AD27:AE29"/>
    <mergeCell ref="AF27:AF29"/>
    <mergeCell ref="AG27:AG29"/>
    <mergeCell ref="AH27:AH29"/>
    <mergeCell ref="A27:B29"/>
    <mergeCell ref="C27:H29"/>
    <mergeCell ref="I27:K29"/>
    <mergeCell ref="BB24:BB26"/>
    <mergeCell ref="AP25:AQ25"/>
    <mergeCell ref="AR25:AS25"/>
    <mergeCell ref="AW25:AX25"/>
    <mergeCell ref="AP26:AQ26"/>
    <mergeCell ref="AR26:AS26"/>
    <mergeCell ref="AW26:AX26"/>
    <mergeCell ref="AI24:AI26"/>
    <mergeCell ref="AL24:AL26"/>
    <mergeCell ref="AM24:AO26"/>
    <mergeCell ref="AP24:AQ24"/>
    <mergeCell ref="AR24:AS24"/>
    <mergeCell ref="AT24:AT26"/>
    <mergeCell ref="AU24:AU26"/>
    <mergeCell ref="AV24:AV26"/>
    <mergeCell ref="AW24:AX24"/>
    <mergeCell ref="L21:Q23"/>
    <mergeCell ref="R21:S23"/>
    <mergeCell ref="T21:Y23"/>
    <mergeCell ref="AU21:AU23"/>
    <mergeCell ref="AV21:AV23"/>
    <mergeCell ref="AW21:AX21"/>
    <mergeCell ref="BB21:BB23"/>
    <mergeCell ref="AP22:AQ22"/>
    <mergeCell ref="AR22:AS22"/>
    <mergeCell ref="AW22:AX22"/>
    <mergeCell ref="AP23:AQ23"/>
    <mergeCell ref="AR23:AS23"/>
    <mergeCell ref="AW23:AX23"/>
    <mergeCell ref="AP21:AQ21"/>
    <mergeCell ref="AR21:AS21"/>
    <mergeCell ref="AT21:AT23"/>
    <mergeCell ref="A18:B20"/>
    <mergeCell ref="C18:H20"/>
    <mergeCell ref="I18:K20"/>
    <mergeCell ref="L18:Q20"/>
    <mergeCell ref="R18:S20"/>
    <mergeCell ref="T18:Y20"/>
    <mergeCell ref="AI21:AI23"/>
    <mergeCell ref="AL21:AL23"/>
    <mergeCell ref="AM21:AO23"/>
    <mergeCell ref="Z18:AA20"/>
    <mergeCell ref="AB18:AC20"/>
    <mergeCell ref="AD18:AE20"/>
    <mergeCell ref="AF18:AF20"/>
    <mergeCell ref="AG18:AG20"/>
    <mergeCell ref="AH18:AH20"/>
    <mergeCell ref="Z21:AA23"/>
    <mergeCell ref="AB21:AC23"/>
    <mergeCell ref="AD21:AE23"/>
    <mergeCell ref="AF21:AF23"/>
    <mergeCell ref="AG21:AG23"/>
    <mergeCell ref="AH21:AH23"/>
    <mergeCell ref="A21:B23"/>
    <mergeCell ref="C21:H23"/>
    <mergeCell ref="I21:K23"/>
    <mergeCell ref="BB18:BB20"/>
    <mergeCell ref="AP19:AQ19"/>
    <mergeCell ref="AR19:AS19"/>
    <mergeCell ref="AW19:AX19"/>
    <mergeCell ref="AP20:AQ20"/>
    <mergeCell ref="AR20:AS20"/>
    <mergeCell ref="AW20:AX20"/>
    <mergeCell ref="AI18:AI20"/>
    <mergeCell ref="AL18:AL20"/>
    <mergeCell ref="AM18:AO20"/>
    <mergeCell ref="AP18:AQ18"/>
    <mergeCell ref="AR18:AS18"/>
    <mergeCell ref="AT18:AT20"/>
    <mergeCell ref="AU18:AU20"/>
    <mergeCell ref="AV18:AV20"/>
    <mergeCell ref="AW18:AX18"/>
    <mergeCell ref="AP16:AS16"/>
    <mergeCell ref="AT16:AV16"/>
    <mergeCell ref="AW16:AX17"/>
    <mergeCell ref="AP17:AQ17"/>
    <mergeCell ref="AR17:AS17"/>
    <mergeCell ref="A16:B17"/>
    <mergeCell ref="C16:H17"/>
    <mergeCell ref="I16:K17"/>
    <mergeCell ref="L16:Q16"/>
    <mergeCell ref="R16:S16"/>
    <mergeCell ref="T16:Y16"/>
    <mergeCell ref="L17:M17"/>
    <mergeCell ref="N17:O17"/>
    <mergeCell ref="P17:Q17"/>
    <mergeCell ref="R17:S17"/>
    <mergeCell ref="T17:U17"/>
    <mergeCell ref="V17:W17"/>
    <mergeCell ref="X17:Y17"/>
    <mergeCell ref="Z17:AA17"/>
    <mergeCell ref="AB17:AC17"/>
    <mergeCell ref="AD17:AE17"/>
    <mergeCell ref="Z16:AE16"/>
    <mergeCell ref="AF16:AL16"/>
    <mergeCell ref="AM16:AO17"/>
    <mergeCell ref="AT7:AX7"/>
    <mergeCell ref="A10:AX10"/>
    <mergeCell ref="A6:N6"/>
    <mergeCell ref="O6:AA6"/>
    <mergeCell ref="I15:M15"/>
    <mergeCell ref="O15:Q15"/>
    <mergeCell ref="S15:V15"/>
    <mergeCell ref="X15:AB15"/>
    <mergeCell ref="AD15:AG15"/>
    <mergeCell ref="AM15:AP15"/>
    <mergeCell ref="A14:H14"/>
    <mergeCell ref="I14:R14"/>
    <mergeCell ref="S14:AH14"/>
    <mergeCell ref="AI14:AQ14"/>
    <mergeCell ref="AR14:AW15"/>
    <mergeCell ref="A13:AX13"/>
    <mergeCell ref="AX14:AX15"/>
    <mergeCell ref="A15:C15"/>
    <mergeCell ref="E15:G15"/>
    <mergeCell ref="AB6:AO6"/>
    <mergeCell ref="L11:AX11"/>
    <mergeCell ref="AB7:AK7"/>
    <mergeCell ref="AL7:AS7"/>
  </mergeCells>
  <conditionalFormatting sqref="T18:Y20">
    <cfRule type="expression" dxfId="9" priority="2">
      <formula>$BB18=7</formula>
    </cfRule>
  </conditionalFormatting>
  <conditionalFormatting sqref="T21:Y41">
    <cfRule type="expression" dxfId="8" priority="1">
      <formula>$BB21=7</formula>
    </cfRule>
  </conditionalFormatting>
  <printOptions horizontalCentered="1"/>
  <pageMargins left="0.19685039370078741" right="0.19685039370078741" top="0.19685039370078741" bottom="0.39370078740157483" header="0.19685039370078741" footer="0.19685039370078741"/>
  <pageSetup scale="84" fitToHeight="0" orientation="landscape" blackAndWhite="1" r:id="rId1"/>
  <headerFooter alignWithMargins="0">
    <oddFooter>&amp;C&amp;"Arial,Negrita"&amp;12CONTROLADO&amp;R&amp;8&amp;P de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55766-F3F9-4560-98FD-836DF8AC31B0}">
  <sheetPr codeName="Hoja3">
    <pageSetUpPr fitToPage="1"/>
  </sheetPr>
  <dimension ref="A1:BS46"/>
  <sheetViews>
    <sheetView showGridLines="0" view="pageBreakPreview" topLeftCell="A7" zoomScale="85" zoomScaleNormal="100" zoomScaleSheetLayoutView="85" workbookViewId="0">
      <selection activeCell="U24" sqref="U24:Z24"/>
    </sheetView>
  </sheetViews>
  <sheetFormatPr baseColWidth="10" defaultColWidth="2.7109375" defaultRowHeight="12.95" customHeight="1" x14ac:dyDescent="0.2"/>
  <cols>
    <col min="1" max="8" width="2.7109375" style="11" customWidth="1"/>
    <col min="9" max="11" width="3" style="11" customWidth="1"/>
    <col min="12" max="15" width="2.7109375" style="11" customWidth="1"/>
    <col min="16" max="16" width="2" style="11" customWidth="1"/>
    <col min="17" max="20" width="2.7109375" style="11" customWidth="1"/>
    <col min="21" max="29" width="3.28515625" style="11" customWidth="1"/>
    <col min="30" max="32" width="2.7109375" style="11" customWidth="1"/>
    <col min="33" max="36" width="3.28515625" style="11" customWidth="1"/>
    <col min="37" max="37" width="2.7109375" style="11" customWidth="1"/>
    <col min="38" max="41" width="3.28515625" style="11" customWidth="1"/>
    <col min="42" max="45" width="6.28515625" style="11" customWidth="1"/>
    <col min="46" max="46" width="6" style="11" customWidth="1"/>
    <col min="47" max="47" width="6.5703125" style="11" customWidth="1"/>
    <col min="48" max="48" width="7.28515625" style="11" customWidth="1"/>
    <col min="49" max="49" width="10.5703125" style="11" customWidth="1"/>
    <col min="50" max="50" width="7.85546875" style="11" customWidth="1"/>
    <col min="51" max="55" width="2.7109375" style="11" customWidth="1"/>
    <col min="56" max="57" width="2" style="11" customWidth="1"/>
    <col min="58" max="66" width="3.28515625" style="11" customWidth="1"/>
    <col min="67" max="70" width="2.7109375" style="11"/>
    <col min="71" max="71" width="8.85546875" style="11" hidden="1" customWidth="1"/>
    <col min="72" max="16384" width="2.7109375" style="11"/>
  </cols>
  <sheetData>
    <row r="1" spans="1:68" ht="15.75" customHeight="1" x14ac:dyDescent="0.2">
      <c r="A1" s="387"/>
      <c r="B1" s="387"/>
      <c r="C1" s="387"/>
      <c r="D1" s="387"/>
      <c r="E1" s="387"/>
      <c r="F1" s="387"/>
      <c r="G1" s="387"/>
      <c r="H1" s="387"/>
      <c r="I1" s="387"/>
      <c r="J1" s="387"/>
      <c r="K1" s="387"/>
      <c r="L1" s="387"/>
      <c r="M1" s="387"/>
      <c r="N1" s="387"/>
      <c r="O1" s="387"/>
      <c r="P1" s="385" t="s">
        <v>337</v>
      </c>
      <c r="Q1" s="386"/>
      <c r="R1" s="386"/>
      <c r="S1" s="386"/>
      <c r="T1" s="386"/>
      <c r="U1" s="386"/>
      <c r="V1" s="386"/>
      <c r="W1" s="386"/>
      <c r="X1" s="386"/>
      <c r="Y1" s="386"/>
      <c r="Z1" s="386"/>
      <c r="AA1" s="386"/>
      <c r="AB1" s="386"/>
      <c r="AC1" s="386"/>
      <c r="AD1" s="386"/>
      <c r="AE1" s="386"/>
      <c r="AF1" s="386"/>
      <c r="AG1" s="386"/>
      <c r="AH1" s="386"/>
      <c r="AI1" s="386"/>
      <c r="AJ1" s="386"/>
      <c r="AK1" s="386"/>
      <c r="AL1" s="386"/>
      <c r="AM1" s="386"/>
      <c r="AN1" s="386"/>
      <c r="AO1" s="386"/>
      <c r="AP1" s="386"/>
      <c r="AQ1" s="386"/>
      <c r="AR1" s="386"/>
      <c r="AS1" s="386"/>
      <c r="AT1" s="386"/>
      <c r="AU1" s="386"/>
      <c r="AV1" s="386"/>
      <c r="AW1" s="386"/>
      <c r="AX1" s="519" t="s">
        <v>199</v>
      </c>
      <c r="AY1" s="519"/>
      <c r="AZ1" s="519"/>
      <c r="BA1" s="519"/>
      <c r="BB1" s="519"/>
      <c r="BC1" s="519"/>
      <c r="BD1" s="519"/>
      <c r="BE1" s="519"/>
      <c r="BF1" s="519"/>
      <c r="BG1" s="387"/>
      <c r="BH1" s="387"/>
      <c r="BI1" s="387"/>
      <c r="BJ1" s="387"/>
      <c r="BK1" s="387"/>
      <c r="BL1" s="387"/>
      <c r="BM1" s="387"/>
      <c r="BN1" s="387"/>
    </row>
    <row r="2" spans="1:68" ht="15.75" customHeight="1" x14ac:dyDescent="0.2">
      <c r="A2" s="387"/>
      <c r="B2" s="387"/>
      <c r="C2" s="387"/>
      <c r="D2" s="387"/>
      <c r="E2" s="387"/>
      <c r="F2" s="387"/>
      <c r="G2" s="387"/>
      <c r="H2" s="387"/>
      <c r="I2" s="387"/>
      <c r="J2" s="387"/>
      <c r="K2" s="387"/>
      <c r="L2" s="387"/>
      <c r="M2" s="387"/>
      <c r="N2" s="387"/>
      <c r="O2" s="387"/>
      <c r="P2" s="386"/>
      <c r="Q2" s="386"/>
      <c r="R2" s="386"/>
      <c r="S2" s="386"/>
      <c r="T2" s="386"/>
      <c r="U2" s="386"/>
      <c r="V2" s="386"/>
      <c r="W2" s="386"/>
      <c r="X2" s="386"/>
      <c r="Y2" s="386"/>
      <c r="Z2" s="386"/>
      <c r="AA2" s="386"/>
      <c r="AB2" s="386"/>
      <c r="AC2" s="386"/>
      <c r="AD2" s="386"/>
      <c r="AE2" s="386"/>
      <c r="AF2" s="386"/>
      <c r="AG2" s="386"/>
      <c r="AH2" s="386"/>
      <c r="AI2" s="386"/>
      <c r="AJ2" s="386"/>
      <c r="AK2" s="386"/>
      <c r="AL2" s="386"/>
      <c r="AM2" s="386"/>
      <c r="AN2" s="386"/>
      <c r="AO2" s="386"/>
      <c r="AP2" s="386"/>
      <c r="AQ2" s="386"/>
      <c r="AR2" s="386"/>
      <c r="AS2" s="386"/>
      <c r="AT2" s="386"/>
      <c r="AU2" s="386"/>
      <c r="AV2" s="386"/>
      <c r="AW2" s="386"/>
      <c r="AX2" s="519" t="s">
        <v>299</v>
      </c>
      <c r="AY2" s="519"/>
      <c r="AZ2" s="519"/>
      <c r="BA2" s="519"/>
      <c r="BB2" s="519"/>
      <c r="BC2" s="519"/>
      <c r="BD2" s="519"/>
      <c r="BE2" s="519"/>
      <c r="BF2" s="519"/>
      <c r="BG2" s="389"/>
      <c r="BH2" s="389"/>
      <c r="BI2" s="389"/>
      <c r="BJ2" s="389"/>
      <c r="BK2" s="389"/>
      <c r="BL2" s="389"/>
      <c r="BM2" s="389"/>
      <c r="BN2" s="389"/>
    </row>
    <row r="3" spans="1:68" ht="15.75" customHeight="1" x14ac:dyDescent="0.2">
      <c r="A3" s="387"/>
      <c r="B3" s="387"/>
      <c r="C3" s="387"/>
      <c r="D3" s="387"/>
      <c r="E3" s="387"/>
      <c r="F3" s="387"/>
      <c r="G3" s="387"/>
      <c r="H3" s="387"/>
      <c r="I3" s="387"/>
      <c r="J3" s="387"/>
      <c r="K3" s="387"/>
      <c r="L3" s="387"/>
      <c r="M3" s="387"/>
      <c r="N3" s="387"/>
      <c r="O3" s="387"/>
      <c r="P3" s="386"/>
      <c r="Q3" s="386"/>
      <c r="R3" s="386"/>
      <c r="S3" s="386"/>
      <c r="T3" s="386"/>
      <c r="U3" s="386"/>
      <c r="V3" s="386"/>
      <c r="W3" s="386"/>
      <c r="X3" s="386"/>
      <c r="Y3" s="386"/>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519" t="s">
        <v>203</v>
      </c>
      <c r="AY3" s="519"/>
      <c r="AZ3" s="519"/>
      <c r="BA3" s="519"/>
      <c r="BB3" s="519"/>
      <c r="BC3" s="519"/>
      <c r="BD3" s="519"/>
      <c r="BE3" s="519"/>
      <c r="BF3" s="519"/>
      <c r="BG3" s="387"/>
      <c r="BH3" s="387"/>
      <c r="BI3" s="387"/>
      <c r="BJ3" s="387"/>
      <c r="BK3" s="387"/>
      <c r="BL3" s="387"/>
      <c r="BM3" s="387"/>
      <c r="BN3" s="387"/>
    </row>
    <row r="4" spans="1:68" ht="15.75" customHeight="1" x14ac:dyDescent="0.2">
      <c r="A4" s="387"/>
      <c r="B4" s="387"/>
      <c r="C4" s="387"/>
      <c r="D4" s="387"/>
      <c r="E4" s="387"/>
      <c r="F4" s="387"/>
      <c r="G4" s="387"/>
      <c r="H4" s="387"/>
      <c r="I4" s="387"/>
      <c r="J4" s="387"/>
      <c r="K4" s="387"/>
      <c r="L4" s="387"/>
      <c r="M4" s="387"/>
      <c r="N4" s="387"/>
      <c r="O4" s="387"/>
      <c r="P4" s="386"/>
      <c r="Q4" s="386"/>
      <c r="R4" s="386"/>
      <c r="S4" s="386"/>
      <c r="T4" s="386"/>
      <c r="U4" s="386"/>
      <c r="V4" s="386"/>
      <c r="W4" s="386"/>
      <c r="X4" s="386"/>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519" t="s">
        <v>200</v>
      </c>
      <c r="AY4" s="519"/>
      <c r="AZ4" s="519"/>
      <c r="BA4" s="519"/>
      <c r="BB4" s="519"/>
      <c r="BC4" s="519"/>
      <c r="BD4" s="519"/>
      <c r="BE4" s="519"/>
      <c r="BF4" s="519"/>
      <c r="BG4" s="387"/>
      <c r="BH4" s="387"/>
      <c r="BI4" s="387"/>
      <c r="BJ4" s="387"/>
      <c r="BK4" s="387"/>
      <c r="BL4" s="387"/>
      <c r="BM4" s="387"/>
      <c r="BN4" s="387"/>
    </row>
    <row r="5" spans="1:68" ht="15.75" customHeight="1" x14ac:dyDescent="0.2">
      <c r="A5" s="387"/>
      <c r="B5" s="387"/>
      <c r="C5" s="387"/>
      <c r="D5" s="387"/>
      <c r="E5" s="387"/>
      <c r="F5" s="387"/>
      <c r="G5" s="387"/>
      <c r="H5" s="387"/>
      <c r="I5" s="387"/>
      <c r="J5" s="387"/>
      <c r="K5" s="387"/>
      <c r="L5" s="387"/>
      <c r="M5" s="387"/>
      <c r="N5" s="387"/>
      <c r="O5" s="387"/>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519" t="s">
        <v>202</v>
      </c>
      <c r="AY5" s="519"/>
      <c r="AZ5" s="519"/>
      <c r="BA5" s="519"/>
      <c r="BB5" s="519"/>
      <c r="BC5" s="519"/>
      <c r="BD5" s="519"/>
      <c r="BE5" s="519"/>
      <c r="BF5" s="519"/>
      <c r="BG5" s="387"/>
      <c r="BH5" s="387"/>
      <c r="BI5" s="387"/>
      <c r="BJ5" s="387"/>
      <c r="BK5" s="387"/>
      <c r="BL5" s="387"/>
      <c r="BM5" s="387"/>
      <c r="BN5" s="387"/>
    </row>
    <row r="6" spans="1:68" s="12" customFormat="1" ht="12.75" customHeight="1" x14ac:dyDescent="0.2">
      <c r="A6" s="394" t="s">
        <v>255</v>
      </c>
      <c r="B6" s="395"/>
      <c r="C6" s="395"/>
      <c r="D6" s="395"/>
      <c r="E6" s="395"/>
      <c r="F6" s="395"/>
      <c r="G6" s="395"/>
      <c r="H6" s="395"/>
      <c r="I6" s="395"/>
      <c r="J6" s="395"/>
      <c r="K6" s="395"/>
      <c r="L6" s="395"/>
      <c r="M6" s="395"/>
      <c r="N6" s="395"/>
      <c r="O6" s="396"/>
      <c r="P6" s="244" t="s">
        <v>722</v>
      </c>
      <c r="Q6" s="244"/>
      <c r="R6" s="244"/>
      <c r="S6" s="244"/>
      <c r="T6" s="244"/>
      <c r="U6" s="244"/>
      <c r="V6" s="244"/>
      <c r="W6" s="244"/>
      <c r="X6" s="244"/>
      <c r="Y6" s="244"/>
      <c r="Z6" s="244"/>
      <c r="AA6" s="244"/>
      <c r="AB6" s="244"/>
      <c r="AC6" s="244"/>
      <c r="AD6" s="244"/>
      <c r="AE6" s="244"/>
      <c r="AF6" s="244"/>
      <c r="AG6" s="244"/>
      <c r="AH6" s="244"/>
      <c r="AI6" s="244"/>
      <c r="AJ6" s="394" t="s">
        <v>718</v>
      </c>
      <c r="AK6" s="395"/>
      <c r="AL6" s="395"/>
      <c r="AM6" s="395"/>
      <c r="AN6" s="395"/>
      <c r="AO6" s="395"/>
      <c r="AP6" s="395"/>
      <c r="AQ6" s="395"/>
      <c r="AR6" s="395"/>
      <c r="AS6" s="395"/>
      <c r="AT6" s="395"/>
      <c r="AU6" s="395"/>
      <c r="AV6" s="395"/>
      <c r="AW6" s="396"/>
      <c r="AX6" s="59"/>
      <c r="AY6" s="59"/>
      <c r="AZ6" s="59"/>
      <c r="BA6" s="59"/>
      <c r="BB6" s="59"/>
      <c r="BC6" s="59"/>
      <c r="BD6" s="59"/>
      <c r="BE6" s="59"/>
      <c r="BF6" s="59"/>
      <c r="BG6" s="59"/>
      <c r="BH6" s="59"/>
      <c r="BI6" s="59"/>
      <c r="BJ6" s="59"/>
      <c r="BK6" s="59"/>
      <c r="BL6" s="59"/>
      <c r="BM6" s="59"/>
      <c r="BN6" s="92"/>
    </row>
    <row r="7" spans="1:68" ht="33.75" customHeight="1" x14ac:dyDescent="0.2">
      <c r="A7" s="104" t="s">
        <v>256</v>
      </c>
      <c r="B7" s="105"/>
      <c r="C7" s="105"/>
      <c r="D7" s="105"/>
      <c r="E7" s="105"/>
      <c r="F7" s="152"/>
      <c r="G7" s="152"/>
      <c r="H7" s="152"/>
      <c r="I7" s="152"/>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390" t="s">
        <v>257</v>
      </c>
      <c r="AQ7" s="390"/>
      <c r="AR7" s="390"/>
      <c r="AS7" s="390"/>
      <c r="AT7" s="390"/>
      <c r="AU7" s="397" t="s">
        <v>724</v>
      </c>
      <c r="AV7" s="397"/>
      <c r="AW7" s="397"/>
      <c r="AX7" s="397"/>
      <c r="AY7" s="258" t="s">
        <v>725</v>
      </c>
      <c r="AZ7" s="259"/>
      <c r="BA7" s="259"/>
      <c r="BB7" s="259"/>
      <c r="BC7" s="259"/>
      <c r="BD7" s="259"/>
      <c r="BE7" s="259"/>
      <c r="BF7" s="259"/>
      <c r="BG7" s="259"/>
      <c r="BH7" s="259"/>
      <c r="BI7" s="259"/>
      <c r="BJ7" s="259"/>
      <c r="BK7" s="259"/>
      <c r="BL7" s="259"/>
      <c r="BM7" s="259"/>
      <c r="BN7" s="260"/>
    </row>
    <row r="8" spans="1:68" ht="18" customHeight="1" x14ac:dyDescent="0.2">
      <c r="A8" s="106" t="s">
        <v>258</v>
      </c>
      <c r="B8" s="42"/>
      <c r="C8" s="42"/>
      <c r="D8" s="42"/>
      <c r="E8" s="42"/>
      <c r="F8" s="43" t="s">
        <v>259</v>
      </c>
      <c r="G8" s="43"/>
      <c r="H8" s="43"/>
      <c r="I8" s="43"/>
      <c r="J8" s="43"/>
      <c r="K8" s="43"/>
      <c r="L8" s="43" t="s">
        <v>260</v>
      </c>
      <c r="M8" s="44"/>
      <c r="N8" s="44"/>
      <c r="O8" s="43"/>
      <c r="P8" s="44"/>
      <c r="Q8" s="43"/>
      <c r="R8" s="43"/>
      <c r="S8" s="43"/>
      <c r="T8" s="43"/>
      <c r="U8" s="43" t="s">
        <v>261</v>
      </c>
      <c r="V8" s="44"/>
      <c r="W8" s="43"/>
      <c r="X8" s="44"/>
      <c r="Y8" s="44"/>
      <c r="Z8" s="43"/>
      <c r="AA8" s="43"/>
      <c r="AB8" s="43"/>
      <c r="AC8" s="43"/>
      <c r="AD8" s="43"/>
      <c r="AE8" s="44"/>
      <c r="AF8" s="43" t="s">
        <v>262</v>
      </c>
      <c r="AG8" s="44"/>
      <c r="AH8" s="43"/>
      <c r="AI8" s="43"/>
      <c r="AJ8" s="44"/>
      <c r="AK8" s="43"/>
      <c r="AL8" s="43" t="s">
        <v>344</v>
      </c>
      <c r="AM8" s="43"/>
      <c r="AN8" s="43"/>
      <c r="AO8" s="43"/>
      <c r="AP8" s="44"/>
      <c r="AQ8" s="43"/>
      <c r="AR8" s="44"/>
      <c r="AS8" s="43"/>
      <c r="AT8" s="44"/>
      <c r="AU8" s="44"/>
      <c r="AV8" s="44"/>
      <c r="AW8" s="44"/>
      <c r="AX8" s="43" t="s">
        <v>263</v>
      </c>
      <c r="AY8" s="44"/>
      <c r="AZ8" s="44"/>
      <c r="BA8" s="44"/>
      <c r="BB8" s="44"/>
      <c r="BC8" s="44"/>
      <c r="BD8" s="44"/>
      <c r="BE8" s="44"/>
      <c r="BF8" s="44"/>
      <c r="BG8" s="44"/>
      <c r="BH8" s="43" t="s">
        <v>264</v>
      </c>
      <c r="BI8" s="44"/>
      <c r="BJ8" s="44"/>
      <c r="BK8" s="44"/>
      <c r="BL8" s="44"/>
      <c r="BM8" s="44"/>
      <c r="BN8" s="107"/>
      <c r="BO8" s="108"/>
      <c r="BP8" s="108"/>
    </row>
    <row r="9" spans="1:68" ht="18" customHeight="1" x14ac:dyDescent="0.2">
      <c r="A9" s="398" t="s">
        <v>345</v>
      </c>
      <c r="B9" s="399"/>
      <c r="C9" s="399"/>
      <c r="D9" s="399"/>
      <c r="E9" s="399"/>
      <c r="F9" s="399"/>
      <c r="G9" s="399"/>
      <c r="H9" s="399"/>
      <c r="I9" s="399"/>
      <c r="J9" s="399"/>
      <c r="K9" s="399"/>
      <c r="L9" s="399"/>
      <c r="M9" s="399"/>
      <c r="N9" s="399"/>
      <c r="O9" s="399"/>
      <c r="P9" s="399"/>
      <c r="Q9" s="399"/>
      <c r="R9" s="399"/>
      <c r="S9" s="399"/>
      <c r="T9" s="399"/>
      <c r="U9" s="399"/>
      <c r="V9" s="399"/>
      <c r="W9" s="399"/>
      <c r="X9" s="399"/>
      <c r="Y9" s="399"/>
      <c r="Z9" s="399"/>
      <c r="AA9" s="399"/>
      <c r="AB9" s="399"/>
      <c r="AC9" s="399"/>
      <c r="AD9" s="399"/>
      <c r="AE9" s="399"/>
      <c r="AF9" s="399"/>
      <c r="AG9" s="399"/>
      <c r="AH9" s="399"/>
      <c r="AI9" s="399"/>
      <c r="AJ9" s="399"/>
      <c r="AK9" s="399"/>
      <c r="AL9" s="399"/>
      <c r="AM9" s="399"/>
      <c r="AN9" s="399"/>
      <c r="AO9" s="399"/>
      <c r="AP9" s="399"/>
      <c r="AQ9" s="399"/>
      <c r="AR9" s="399"/>
      <c r="AS9" s="399"/>
      <c r="AT9" s="399"/>
      <c r="AU9" s="399"/>
      <c r="AV9" s="399"/>
      <c r="AW9" s="399"/>
      <c r="AX9" s="399"/>
      <c r="AY9" s="399"/>
      <c r="AZ9" s="399"/>
      <c r="BA9" s="399"/>
      <c r="BB9" s="399"/>
      <c r="BC9" s="399"/>
      <c r="BD9" s="399"/>
      <c r="BE9" s="399"/>
      <c r="BF9" s="399"/>
      <c r="BG9" s="399"/>
      <c r="BH9" s="399"/>
      <c r="BI9" s="399"/>
      <c r="BJ9" s="399"/>
      <c r="BK9" s="399"/>
      <c r="BL9" s="399"/>
      <c r="BM9" s="399"/>
      <c r="BN9" s="400"/>
      <c r="BO9" s="108"/>
      <c r="BP9" s="108"/>
    </row>
    <row r="10" spans="1:68" s="121" customFormat="1" ht="18.75" customHeight="1" x14ac:dyDescent="0.25">
      <c r="A10" s="103" t="s">
        <v>342</v>
      </c>
      <c r="B10" s="100"/>
      <c r="C10" s="100"/>
      <c r="D10" s="100"/>
      <c r="E10" s="100"/>
      <c r="F10" s="100"/>
      <c r="G10" s="100"/>
      <c r="H10" s="100"/>
      <c r="I10" s="100"/>
      <c r="J10" s="100"/>
      <c r="K10" s="118"/>
      <c r="L10" s="118"/>
      <c r="M10" s="118"/>
      <c r="N10" s="99" t="s">
        <v>346</v>
      </c>
      <c r="O10" s="99"/>
      <c r="P10" s="99"/>
      <c r="Q10" s="99"/>
      <c r="R10" s="99"/>
      <c r="S10" s="99"/>
      <c r="T10" s="99"/>
      <c r="U10" s="99"/>
      <c r="V10" s="99"/>
      <c r="W10" s="99"/>
      <c r="X10" s="99"/>
      <c r="Y10" s="99"/>
      <c r="Z10" s="99"/>
      <c r="AA10" s="99"/>
      <c r="AB10" s="99"/>
      <c r="AC10" s="99"/>
      <c r="AD10" s="99"/>
      <c r="AE10" s="99"/>
      <c r="AF10" s="99"/>
      <c r="AG10" s="101"/>
      <c r="AH10" s="118"/>
      <c r="AI10" s="101"/>
      <c r="AJ10" s="101"/>
      <c r="AK10" s="101"/>
      <c r="AL10" s="101"/>
      <c r="AM10" s="101"/>
      <c r="AN10" s="101"/>
      <c r="AO10" s="101"/>
      <c r="AP10" s="101"/>
      <c r="AQ10" s="99" t="s">
        <v>265</v>
      </c>
      <c r="AR10" s="99"/>
      <c r="AS10" s="99"/>
      <c r="AT10" s="99"/>
      <c r="AU10" s="99"/>
      <c r="AV10" s="99"/>
      <c r="AW10" s="99"/>
      <c r="AX10" s="99"/>
      <c r="AY10" s="119"/>
      <c r="AZ10" s="119"/>
      <c r="BA10" s="119"/>
      <c r="BB10" s="119"/>
      <c r="BC10" s="119"/>
      <c r="BD10" s="119"/>
      <c r="BE10" s="119"/>
      <c r="BF10" s="99"/>
      <c r="BG10" s="99"/>
      <c r="BH10" s="101"/>
      <c r="BI10" s="99"/>
      <c r="BJ10" s="101"/>
      <c r="BK10" s="101"/>
      <c r="BL10" s="99"/>
      <c r="BM10" s="101"/>
      <c r="BN10" s="102"/>
      <c r="BO10" s="120"/>
      <c r="BP10" s="120"/>
    </row>
    <row r="11" spans="1:68" ht="18" customHeight="1" x14ac:dyDescent="0.2">
      <c r="A11" s="391" t="s">
        <v>338</v>
      </c>
      <c r="B11" s="392"/>
      <c r="C11" s="392"/>
      <c r="D11" s="392"/>
      <c r="E11" s="392"/>
      <c r="F11" s="392"/>
      <c r="G11" s="392"/>
      <c r="H11" s="392"/>
      <c r="I11" s="392"/>
      <c r="J11" s="392"/>
      <c r="K11" s="392"/>
      <c r="L11" s="392"/>
      <c r="M11" s="392"/>
      <c r="N11" s="392"/>
      <c r="O11" s="392"/>
      <c r="P11" s="392"/>
      <c r="Q11" s="392"/>
      <c r="R11" s="392"/>
      <c r="S11" s="392"/>
      <c r="T11" s="392"/>
      <c r="U11" s="392"/>
      <c r="V11" s="392"/>
      <c r="W11" s="62"/>
      <c r="X11" s="62"/>
      <c r="Y11" s="62"/>
      <c r="Z11" s="62"/>
      <c r="AA11" s="62"/>
      <c r="AB11" s="62"/>
      <c r="AC11" s="62"/>
      <c r="AD11" s="62"/>
      <c r="AE11" s="62"/>
      <c r="AF11" s="62"/>
      <c r="AG11" s="62"/>
      <c r="AH11" s="62"/>
      <c r="AI11" s="62"/>
      <c r="AJ11" s="62"/>
      <c r="AK11" s="62"/>
      <c r="AL11" s="393" t="s">
        <v>266</v>
      </c>
      <c r="AM11" s="393"/>
      <c r="AN11" s="393"/>
      <c r="AO11" s="393"/>
      <c r="AP11" s="393"/>
      <c r="AQ11" s="393"/>
      <c r="AR11" s="393"/>
      <c r="AS11" s="393"/>
      <c r="AT11" s="393"/>
      <c r="AU11" s="393"/>
      <c r="AV11" s="393"/>
      <c r="AW11" s="109"/>
      <c r="AX11" s="109"/>
      <c r="AY11" s="109"/>
      <c r="AZ11" s="109"/>
      <c r="BA11" s="109"/>
      <c r="BB11" s="109"/>
      <c r="BC11" s="109"/>
      <c r="BD11" s="109"/>
      <c r="BE11" s="109"/>
      <c r="BF11" s="109"/>
      <c r="BG11" s="109"/>
      <c r="BH11" s="109"/>
      <c r="BI11" s="109"/>
      <c r="BJ11" s="109"/>
      <c r="BK11" s="109"/>
      <c r="BL11" s="109"/>
      <c r="BM11" s="109"/>
      <c r="BN11" s="110"/>
    </row>
    <row r="12" spans="1:68" ht="25.5" customHeight="1" x14ac:dyDescent="0.2">
      <c r="A12" s="401" t="s">
        <v>267</v>
      </c>
      <c r="B12" s="402"/>
      <c r="C12" s="402"/>
      <c r="D12" s="402"/>
      <c r="E12" s="402"/>
      <c r="F12" s="402"/>
      <c r="G12" s="402"/>
      <c r="H12" s="402"/>
      <c r="I12" s="402"/>
      <c r="J12" s="402"/>
      <c r="K12" s="402"/>
      <c r="L12" s="402"/>
      <c r="M12" s="402"/>
      <c r="N12" s="402"/>
      <c r="O12" s="402"/>
      <c r="P12" s="402"/>
      <c r="Q12" s="402"/>
      <c r="R12" s="402"/>
      <c r="S12" s="402"/>
      <c r="T12" s="402"/>
      <c r="U12" s="402"/>
      <c r="V12" s="402"/>
      <c r="W12" s="46"/>
      <c r="X12" s="46"/>
      <c r="Y12" s="46"/>
      <c r="Z12" s="46"/>
      <c r="AA12" s="46"/>
      <c r="AB12" s="46"/>
      <c r="AC12" s="46"/>
      <c r="AD12" s="46"/>
      <c r="AE12" s="46"/>
      <c r="AF12" s="46"/>
      <c r="AG12" s="46"/>
      <c r="AH12" s="46"/>
      <c r="AI12" s="46"/>
      <c r="AJ12" s="46"/>
      <c r="AK12" s="46"/>
      <c r="AL12" s="403" t="s">
        <v>268</v>
      </c>
      <c r="AM12" s="403"/>
      <c r="AN12" s="403"/>
      <c r="AO12" s="403"/>
      <c r="AP12" s="403"/>
      <c r="AQ12" s="403"/>
      <c r="AR12" s="403"/>
      <c r="AS12" s="403"/>
      <c r="AT12" s="403"/>
      <c r="AU12" s="403"/>
      <c r="AV12" s="403"/>
      <c r="AW12" s="47"/>
      <c r="AX12" s="47"/>
      <c r="AY12" s="47"/>
      <c r="AZ12" s="47"/>
      <c r="BA12" s="47"/>
      <c r="BB12" s="47"/>
      <c r="BC12" s="47"/>
      <c r="BD12" s="47"/>
      <c r="BE12" s="47"/>
      <c r="BF12" s="47"/>
      <c r="BG12" s="47"/>
      <c r="BH12" s="47"/>
      <c r="BI12" s="47"/>
      <c r="BJ12" s="47"/>
      <c r="BK12" s="47"/>
      <c r="BL12" s="47"/>
      <c r="BM12" s="47"/>
      <c r="BN12" s="48"/>
    </row>
    <row r="13" spans="1:68" ht="10.5" customHeight="1" x14ac:dyDescent="0.2">
      <c r="A13" s="401"/>
      <c r="B13" s="402"/>
      <c r="C13" s="402"/>
      <c r="D13" s="402"/>
      <c r="E13" s="402"/>
      <c r="F13" s="402"/>
      <c r="G13" s="402"/>
      <c r="H13" s="402"/>
      <c r="I13" s="402"/>
      <c r="J13" s="402"/>
      <c r="K13" s="402"/>
      <c r="L13" s="402"/>
      <c r="M13" s="402"/>
      <c r="N13" s="402"/>
      <c r="O13" s="402"/>
      <c r="P13" s="402"/>
      <c r="Q13" s="402"/>
      <c r="R13" s="402"/>
      <c r="S13" s="402"/>
      <c r="T13" s="402"/>
      <c r="U13" s="402"/>
      <c r="V13" s="402"/>
      <c r="W13" s="46"/>
      <c r="X13" s="46"/>
      <c r="Y13" s="46"/>
      <c r="Z13" s="46"/>
      <c r="AA13" s="46"/>
      <c r="AB13" s="46"/>
      <c r="AC13" s="46"/>
      <c r="AD13" s="46"/>
      <c r="AE13" s="46"/>
      <c r="AF13" s="46"/>
      <c r="AG13" s="46"/>
      <c r="AH13" s="46"/>
      <c r="AI13" s="46"/>
      <c r="AJ13" s="46"/>
      <c r="AK13" s="46"/>
      <c r="AL13" s="403" t="s">
        <v>269</v>
      </c>
      <c r="AM13" s="403"/>
      <c r="AN13" s="403"/>
      <c r="AO13" s="403"/>
      <c r="AP13" s="403"/>
      <c r="AQ13" s="403"/>
      <c r="AR13" s="403"/>
      <c r="AS13" s="403"/>
      <c r="AT13" s="403"/>
      <c r="AU13" s="403"/>
      <c r="AV13" s="403"/>
      <c r="AW13" s="47"/>
      <c r="AX13" s="47"/>
      <c r="AY13" s="47"/>
      <c r="AZ13" s="47"/>
      <c r="BA13" s="47"/>
      <c r="BB13" s="47"/>
      <c r="BC13" s="47"/>
      <c r="BD13" s="47"/>
      <c r="BE13" s="47"/>
      <c r="BF13" s="47"/>
      <c r="BG13" s="47"/>
      <c r="BH13" s="47"/>
      <c r="BI13" s="47"/>
      <c r="BJ13" s="47"/>
      <c r="BK13" s="47"/>
      <c r="BL13" s="47"/>
      <c r="BM13" s="47"/>
      <c r="BN13" s="48"/>
    </row>
    <row r="14" spans="1:68" ht="18.75" customHeight="1" x14ac:dyDescent="0.2">
      <c r="A14" s="401" t="s">
        <v>270</v>
      </c>
      <c r="B14" s="402"/>
      <c r="C14" s="402"/>
      <c r="D14" s="402"/>
      <c r="E14" s="402"/>
      <c r="F14" s="402"/>
      <c r="G14" s="402"/>
      <c r="H14" s="402"/>
      <c r="I14" s="402"/>
      <c r="J14" s="402"/>
      <c r="K14" s="402"/>
      <c r="L14" s="402"/>
      <c r="M14" s="402"/>
      <c r="N14" s="402"/>
      <c r="O14" s="402"/>
      <c r="P14" s="402"/>
      <c r="Q14" s="402"/>
      <c r="R14" s="402"/>
      <c r="S14" s="402"/>
      <c r="T14" s="402"/>
      <c r="U14" s="402"/>
      <c r="V14" s="402"/>
      <c r="W14" s="46"/>
      <c r="X14" s="46"/>
      <c r="Y14" s="46"/>
      <c r="Z14" s="46"/>
      <c r="AA14" s="46"/>
      <c r="AB14" s="46"/>
      <c r="AC14" s="46"/>
      <c r="AD14" s="46"/>
      <c r="AE14" s="46"/>
      <c r="AF14" s="46"/>
      <c r="AG14" s="46"/>
      <c r="AH14" s="46"/>
      <c r="AI14" s="46"/>
      <c r="AJ14" s="46"/>
      <c r="AK14" s="46"/>
      <c r="AL14" s="403"/>
      <c r="AM14" s="403"/>
      <c r="AN14" s="403"/>
      <c r="AO14" s="403"/>
      <c r="AP14" s="403"/>
      <c r="AQ14" s="403"/>
      <c r="AR14" s="403"/>
      <c r="AS14" s="403"/>
      <c r="AT14" s="403"/>
      <c r="AU14" s="403"/>
      <c r="AV14" s="403"/>
      <c r="AW14" s="47"/>
      <c r="AX14" s="47"/>
      <c r="AY14" s="47"/>
      <c r="AZ14" s="47"/>
      <c r="BA14" s="47"/>
      <c r="BB14" s="47"/>
      <c r="BC14" s="47"/>
      <c r="BD14" s="47"/>
      <c r="BE14" s="47"/>
      <c r="BF14" s="47"/>
      <c r="BG14" s="47"/>
      <c r="BH14" s="47"/>
      <c r="BI14" s="47"/>
      <c r="BJ14" s="47"/>
      <c r="BK14" s="47"/>
      <c r="BL14" s="47"/>
      <c r="BM14" s="47"/>
      <c r="BN14" s="48"/>
    </row>
    <row r="15" spans="1:68" ht="18.75" customHeight="1" x14ac:dyDescent="0.2">
      <c r="A15" s="401"/>
      <c r="B15" s="402"/>
      <c r="C15" s="402"/>
      <c r="D15" s="402"/>
      <c r="E15" s="402"/>
      <c r="F15" s="402"/>
      <c r="G15" s="402"/>
      <c r="H15" s="402"/>
      <c r="I15" s="402"/>
      <c r="J15" s="402"/>
      <c r="K15" s="402"/>
      <c r="L15" s="402"/>
      <c r="M15" s="402"/>
      <c r="N15" s="402"/>
      <c r="O15" s="402"/>
      <c r="P15" s="402"/>
      <c r="Q15" s="402"/>
      <c r="R15" s="402"/>
      <c r="S15" s="402"/>
      <c r="T15" s="402"/>
      <c r="U15" s="402"/>
      <c r="V15" s="402"/>
      <c r="W15" s="46"/>
      <c r="X15" s="46"/>
      <c r="Y15" s="46"/>
      <c r="Z15" s="46"/>
      <c r="AA15" s="46"/>
      <c r="AB15" s="46"/>
      <c r="AC15" s="46"/>
      <c r="AD15" s="46"/>
      <c r="AE15" s="46"/>
      <c r="AF15" s="46"/>
      <c r="AG15" s="46"/>
      <c r="AH15" s="46"/>
      <c r="AI15" s="46"/>
      <c r="AJ15" s="46"/>
      <c r="AK15" s="46"/>
      <c r="AL15" s="403"/>
      <c r="AM15" s="403"/>
      <c r="AN15" s="403"/>
      <c r="AO15" s="403"/>
      <c r="AP15" s="403"/>
      <c r="AQ15" s="403"/>
      <c r="AR15" s="403"/>
      <c r="AS15" s="403"/>
      <c r="AT15" s="403"/>
      <c r="AU15" s="403"/>
      <c r="AV15" s="403"/>
      <c r="AW15" s="47"/>
      <c r="AX15" s="47"/>
      <c r="AY15" s="47"/>
      <c r="AZ15" s="47"/>
      <c r="BA15" s="47"/>
      <c r="BB15" s="47"/>
      <c r="BC15" s="47"/>
      <c r="BD15" s="47"/>
      <c r="BE15" s="47"/>
      <c r="BF15" s="47"/>
      <c r="BG15" s="47"/>
      <c r="BH15" s="47"/>
      <c r="BI15" s="47"/>
      <c r="BJ15" s="47"/>
      <c r="BK15" s="47"/>
      <c r="BL15" s="47"/>
      <c r="BM15" s="47"/>
      <c r="BN15" s="48"/>
    </row>
    <row r="16" spans="1:68" ht="23.25" customHeight="1" x14ac:dyDescent="0.2">
      <c r="A16" s="401"/>
      <c r="B16" s="402"/>
      <c r="C16" s="402"/>
      <c r="D16" s="402"/>
      <c r="E16" s="402"/>
      <c r="F16" s="402"/>
      <c r="G16" s="402"/>
      <c r="H16" s="402"/>
      <c r="I16" s="402"/>
      <c r="J16" s="402"/>
      <c r="K16" s="402"/>
      <c r="L16" s="402"/>
      <c r="M16" s="402"/>
      <c r="N16" s="402"/>
      <c r="O16" s="402"/>
      <c r="P16" s="402"/>
      <c r="Q16" s="402"/>
      <c r="R16" s="402"/>
      <c r="S16" s="402"/>
      <c r="T16" s="402"/>
      <c r="U16" s="402"/>
      <c r="V16" s="402"/>
      <c r="W16" s="46"/>
      <c r="X16" s="46"/>
      <c r="Y16" s="46"/>
      <c r="Z16" s="46"/>
      <c r="AA16" s="46"/>
      <c r="AB16" s="46"/>
      <c r="AC16" s="46"/>
      <c r="AD16" s="46"/>
      <c r="AE16" s="46"/>
      <c r="AF16" s="46"/>
      <c r="AG16" s="46"/>
      <c r="AH16" s="46"/>
      <c r="AI16" s="46"/>
      <c r="AJ16" s="46"/>
      <c r="AK16" s="46"/>
      <c r="AL16" s="403"/>
      <c r="AM16" s="403"/>
      <c r="AN16" s="403"/>
      <c r="AO16" s="403"/>
      <c r="AP16" s="403"/>
      <c r="AQ16" s="403"/>
      <c r="AR16" s="403"/>
      <c r="AS16" s="403"/>
      <c r="AT16" s="403"/>
      <c r="AU16" s="403"/>
      <c r="AV16" s="403"/>
      <c r="AW16" s="47"/>
      <c r="AX16" s="47"/>
      <c r="AY16" s="47"/>
      <c r="AZ16" s="47"/>
      <c r="BA16" s="47"/>
      <c r="BB16" s="47"/>
      <c r="BC16" s="47"/>
      <c r="BD16" s="47"/>
      <c r="BE16" s="47"/>
      <c r="BF16" s="47"/>
      <c r="BG16" s="47"/>
      <c r="BH16" s="47"/>
      <c r="BI16" s="47"/>
      <c r="BJ16" s="47"/>
      <c r="BK16" s="47"/>
      <c r="BL16" s="47"/>
      <c r="BM16" s="47"/>
      <c r="BN16" s="48"/>
    </row>
    <row r="17" spans="1:71" ht="33" customHeight="1" x14ac:dyDescent="0.2">
      <c r="A17" s="401"/>
      <c r="B17" s="402"/>
      <c r="C17" s="402"/>
      <c r="D17" s="402"/>
      <c r="E17" s="402"/>
      <c r="F17" s="402"/>
      <c r="G17" s="402"/>
      <c r="H17" s="402"/>
      <c r="I17" s="402"/>
      <c r="J17" s="402"/>
      <c r="K17" s="402"/>
      <c r="L17" s="402"/>
      <c r="M17" s="402"/>
      <c r="N17" s="402"/>
      <c r="O17" s="402"/>
      <c r="P17" s="402"/>
      <c r="Q17" s="402"/>
      <c r="R17" s="402"/>
      <c r="S17" s="402"/>
      <c r="T17" s="402"/>
      <c r="U17" s="402"/>
      <c r="V17" s="402"/>
      <c r="W17" s="46"/>
      <c r="X17" s="46"/>
      <c r="Y17" s="46"/>
      <c r="Z17" s="46"/>
      <c r="AA17" s="46"/>
      <c r="AB17" s="46"/>
      <c r="AC17" s="46"/>
      <c r="AD17" s="46"/>
      <c r="AE17" s="46"/>
      <c r="AF17" s="46"/>
      <c r="AG17" s="46"/>
      <c r="AH17" s="46"/>
      <c r="AI17" s="46"/>
      <c r="AJ17" s="46"/>
      <c r="AK17" s="46"/>
      <c r="AL17" s="403"/>
      <c r="AM17" s="403"/>
      <c r="AN17" s="403"/>
      <c r="AO17" s="403"/>
      <c r="AP17" s="403"/>
      <c r="AQ17" s="403"/>
      <c r="AR17" s="403"/>
      <c r="AS17" s="403"/>
      <c r="AT17" s="403"/>
      <c r="AU17" s="403"/>
      <c r="AV17" s="403"/>
      <c r="AW17" s="47"/>
      <c r="AX17" s="47"/>
      <c r="AY17" s="47"/>
      <c r="AZ17" s="47"/>
      <c r="BA17" s="47"/>
      <c r="BB17" s="47"/>
      <c r="BC17" s="47"/>
      <c r="BD17" s="47"/>
      <c r="BE17" s="47"/>
      <c r="BF17" s="47"/>
      <c r="BG17" s="47"/>
      <c r="BH17" s="47"/>
      <c r="BI17" s="47"/>
      <c r="BJ17" s="47"/>
      <c r="BK17" s="47"/>
      <c r="BL17" s="47"/>
      <c r="BM17" s="47"/>
      <c r="BN17" s="48"/>
    </row>
    <row r="18" spans="1:71" ht="33" customHeight="1" x14ac:dyDescent="0.2">
      <c r="A18" s="434" t="s">
        <v>719</v>
      </c>
      <c r="B18" s="435"/>
      <c r="C18" s="435"/>
      <c r="D18" s="435"/>
      <c r="E18" s="435"/>
      <c r="F18" s="435"/>
      <c r="G18" s="435"/>
      <c r="H18" s="435"/>
      <c r="I18" s="435"/>
      <c r="J18" s="435"/>
      <c r="K18" s="435"/>
      <c r="L18" s="435"/>
      <c r="M18" s="435"/>
      <c r="N18" s="435"/>
      <c r="O18" s="435"/>
      <c r="P18" s="435"/>
      <c r="Q18" s="435"/>
      <c r="R18" s="435"/>
      <c r="S18" s="435"/>
      <c r="T18" s="435"/>
      <c r="U18" s="435"/>
      <c r="V18" s="435"/>
      <c r="W18" s="435"/>
      <c r="X18" s="435"/>
      <c r="Y18" s="435"/>
      <c r="Z18" s="435"/>
      <c r="AA18" s="435"/>
      <c r="AB18" s="435"/>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435"/>
      <c r="BA18" s="435"/>
      <c r="BB18" s="435"/>
      <c r="BC18" s="435"/>
      <c r="BD18" s="435"/>
      <c r="BE18" s="435"/>
      <c r="BF18" s="435"/>
      <c r="BG18" s="435"/>
      <c r="BH18" s="435"/>
      <c r="BI18" s="435"/>
      <c r="BJ18" s="435"/>
      <c r="BK18" s="435"/>
      <c r="BL18" s="435"/>
      <c r="BM18" s="435"/>
      <c r="BN18" s="436"/>
    </row>
    <row r="19" spans="1:71" ht="12.75" customHeight="1" x14ac:dyDescent="0.2">
      <c r="A19" s="404" t="s">
        <v>271</v>
      </c>
      <c r="B19" s="405"/>
      <c r="C19" s="406"/>
      <c r="D19" s="410" t="s">
        <v>227</v>
      </c>
      <c r="E19" s="411"/>
      <c r="F19" s="411"/>
      <c r="G19" s="411"/>
      <c r="H19" s="411"/>
      <c r="I19" s="411"/>
      <c r="J19" s="411"/>
      <c r="K19" s="411"/>
      <c r="L19" s="411"/>
      <c r="M19" s="411"/>
      <c r="N19" s="411"/>
      <c r="O19" s="411"/>
      <c r="P19" s="411"/>
      <c r="Q19" s="412"/>
      <c r="R19" s="416" t="s">
        <v>272</v>
      </c>
      <c r="S19" s="417"/>
      <c r="T19" s="417"/>
      <c r="U19" s="420" t="s">
        <v>273</v>
      </c>
      <c r="V19" s="421"/>
      <c r="W19" s="421"/>
      <c r="X19" s="421"/>
      <c r="Y19" s="421"/>
      <c r="Z19" s="422"/>
      <c r="AA19" s="404" t="s">
        <v>716</v>
      </c>
      <c r="AB19" s="405"/>
      <c r="AC19" s="406"/>
      <c r="AD19" s="404" t="s">
        <v>274</v>
      </c>
      <c r="AE19" s="405"/>
      <c r="AF19" s="406"/>
      <c r="AG19" s="423" t="s">
        <v>273</v>
      </c>
      <c r="AH19" s="424"/>
      <c r="AI19" s="424"/>
      <c r="AJ19" s="424"/>
      <c r="AK19" s="424"/>
      <c r="AL19" s="425"/>
      <c r="AM19" s="423" t="s">
        <v>715</v>
      </c>
      <c r="AN19" s="424"/>
      <c r="AO19" s="425"/>
      <c r="AP19" s="448" t="s">
        <v>275</v>
      </c>
      <c r="AQ19" s="449"/>
      <c r="AR19" s="450"/>
      <c r="AS19" s="454" t="s">
        <v>276</v>
      </c>
      <c r="AT19" s="448" t="s">
        <v>277</v>
      </c>
      <c r="AU19" s="449"/>
      <c r="AV19" s="450"/>
      <c r="AW19" s="456" t="s">
        <v>278</v>
      </c>
      <c r="AX19" s="423" t="s">
        <v>279</v>
      </c>
      <c r="AY19" s="437" t="s">
        <v>280</v>
      </c>
      <c r="AZ19" s="437"/>
      <c r="BA19" s="437"/>
      <c r="BB19" s="437"/>
      <c r="BC19" s="437"/>
      <c r="BD19" s="437" t="s">
        <v>281</v>
      </c>
      <c r="BE19" s="437"/>
      <c r="BF19" s="437" t="s">
        <v>282</v>
      </c>
      <c r="BG19" s="437"/>
      <c r="BH19" s="439" t="s">
        <v>232</v>
      </c>
      <c r="BI19" s="439"/>
      <c r="BJ19" s="439"/>
      <c r="BK19" s="439"/>
      <c r="BL19" s="439"/>
      <c r="BM19" s="439"/>
      <c r="BN19" s="439"/>
    </row>
    <row r="20" spans="1:71" ht="12.75" x14ac:dyDescent="0.2">
      <c r="A20" s="407"/>
      <c r="B20" s="408"/>
      <c r="C20" s="409"/>
      <c r="D20" s="413"/>
      <c r="E20" s="414"/>
      <c r="F20" s="414"/>
      <c r="G20" s="414"/>
      <c r="H20" s="414"/>
      <c r="I20" s="414"/>
      <c r="J20" s="414"/>
      <c r="K20" s="414"/>
      <c r="L20" s="414"/>
      <c r="M20" s="414"/>
      <c r="N20" s="414"/>
      <c r="O20" s="414"/>
      <c r="P20" s="414"/>
      <c r="Q20" s="415"/>
      <c r="R20" s="418"/>
      <c r="S20" s="419"/>
      <c r="T20" s="419"/>
      <c r="U20" s="440" t="s">
        <v>283</v>
      </c>
      <c r="V20" s="441"/>
      <c r="W20" s="441"/>
      <c r="X20" s="441"/>
      <c r="Y20" s="441"/>
      <c r="Z20" s="442"/>
      <c r="AA20" s="407"/>
      <c r="AB20" s="408"/>
      <c r="AC20" s="409"/>
      <c r="AD20" s="407"/>
      <c r="AE20" s="408"/>
      <c r="AF20" s="409"/>
      <c r="AG20" s="443" t="s">
        <v>284</v>
      </c>
      <c r="AH20" s="444"/>
      <c r="AI20" s="444"/>
      <c r="AJ20" s="444"/>
      <c r="AK20" s="444"/>
      <c r="AL20" s="445"/>
      <c r="AM20" s="429"/>
      <c r="AN20" s="371"/>
      <c r="AO20" s="430"/>
      <c r="AP20" s="451"/>
      <c r="AQ20" s="452"/>
      <c r="AR20" s="453"/>
      <c r="AS20" s="455"/>
      <c r="AT20" s="451"/>
      <c r="AU20" s="452"/>
      <c r="AV20" s="453"/>
      <c r="AW20" s="457"/>
      <c r="AX20" s="429"/>
      <c r="AY20" s="437"/>
      <c r="AZ20" s="437"/>
      <c r="BA20" s="437"/>
      <c r="BB20" s="437"/>
      <c r="BC20" s="437"/>
      <c r="BD20" s="437"/>
      <c r="BE20" s="437"/>
      <c r="BF20" s="437"/>
      <c r="BG20" s="437"/>
      <c r="BH20" s="439"/>
      <c r="BI20" s="439"/>
      <c r="BJ20" s="439"/>
      <c r="BK20" s="439"/>
      <c r="BL20" s="439"/>
      <c r="BM20" s="439"/>
      <c r="BN20" s="439"/>
    </row>
    <row r="21" spans="1:71" ht="19.5" customHeight="1" thickBot="1" x14ac:dyDescent="0.25">
      <c r="A21" s="407"/>
      <c r="B21" s="408"/>
      <c r="C21" s="409"/>
      <c r="D21" s="413"/>
      <c r="E21" s="414"/>
      <c r="F21" s="414"/>
      <c r="G21" s="414"/>
      <c r="H21" s="414"/>
      <c r="I21" s="414"/>
      <c r="J21" s="414"/>
      <c r="K21" s="414"/>
      <c r="L21" s="414"/>
      <c r="M21" s="414"/>
      <c r="N21" s="414"/>
      <c r="O21" s="414"/>
      <c r="P21" s="414"/>
      <c r="Q21" s="415"/>
      <c r="R21" s="418"/>
      <c r="S21" s="419"/>
      <c r="T21" s="419"/>
      <c r="U21" s="420" t="s">
        <v>285</v>
      </c>
      <c r="V21" s="422"/>
      <c r="W21" s="420" t="s">
        <v>286</v>
      </c>
      <c r="X21" s="422"/>
      <c r="Y21" s="420" t="s">
        <v>287</v>
      </c>
      <c r="Z21" s="422"/>
      <c r="AA21" s="426"/>
      <c r="AB21" s="427"/>
      <c r="AC21" s="428"/>
      <c r="AD21" s="407"/>
      <c r="AE21" s="408"/>
      <c r="AF21" s="409"/>
      <c r="AG21" s="446" t="s">
        <v>285</v>
      </c>
      <c r="AH21" s="447"/>
      <c r="AI21" s="446" t="s">
        <v>286</v>
      </c>
      <c r="AJ21" s="447"/>
      <c r="AK21" s="446" t="s">
        <v>287</v>
      </c>
      <c r="AL21" s="447"/>
      <c r="AM21" s="431"/>
      <c r="AN21" s="432"/>
      <c r="AO21" s="433"/>
      <c r="AP21" s="451" t="s">
        <v>288</v>
      </c>
      <c r="AQ21" s="452"/>
      <c r="AR21" s="453"/>
      <c r="AS21" s="455"/>
      <c r="AT21" s="451" t="s">
        <v>288</v>
      </c>
      <c r="AU21" s="452"/>
      <c r="AV21" s="453"/>
      <c r="AW21" s="457"/>
      <c r="AX21" s="429"/>
      <c r="AY21" s="438"/>
      <c r="AZ21" s="438"/>
      <c r="BA21" s="438"/>
      <c r="BB21" s="438"/>
      <c r="BC21" s="438"/>
      <c r="BD21" s="438"/>
      <c r="BE21" s="438"/>
      <c r="BF21" s="438"/>
      <c r="BG21" s="438"/>
      <c r="BH21" s="49" t="s">
        <v>289</v>
      </c>
      <c r="BI21" s="49" t="s">
        <v>290</v>
      </c>
      <c r="BJ21" s="49" t="s">
        <v>291</v>
      </c>
      <c r="BK21" s="49" t="s">
        <v>292</v>
      </c>
      <c r="BL21" s="49" t="s">
        <v>293</v>
      </c>
      <c r="BM21" s="49" t="s">
        <v>294</v>
      </c>
      <c r="BN21" s="49" t="s">
        <v>295</v>
      </c>
    </row>
    <row r="22" spans="1:71" ht="21" customHeight="1" x14ac:dyDescent="0.2">
      <c r="A22" s="458"/>
      <c r="B22" s="458"/>
      <c r="C22" s="458"/>
      <c r="D22" s="459"/>
      <c r="E22" s="459"/>
      <c r="F22" s="459"/>
      <c r="G22" s="459"/>
      <c r="H22" s="459"/>
      <c r="I22" s="459"/>
      <c r="J22" s="459"/>
      <c r="K22" s="459"/>
      <c r="L22" s="459"/>
      <c r="M22" s="459"/>
      <c r="N22" s="459"/>
      <c r="O22" s="459"/>
      <c r="P22" s="459"/>
      <c r="Q22" s="459"/>
      <c r="R22" s="460"/>
      <c r="S22" s="460"/>
      <c r="T22" s="460"/>
      <c r="U22" s="461"/>
      <c r="V22" s="462"/>
      <c r="W22" s="462"/>
      <c r="X22" s="462"/>
      <c r="Y22" s="462"/>
      <c r="Z22" s="463"/>
      <c r="AA22" s="468"/>
      <c r="AB22" s="468"/>
      <c r="AC22" s="468"/>
      <c r="AD22" s="460"/>
      <c r="AE22" s="460"/>
      <c r="AF22" s="460"/>
      <c r="AG22" s="464" t="str">
        <f>IF(U22&gt;0,U22+AD22, " ")</f>
        <v xml:space="preserve"> </v>
      </c>
      <c r="AH22" s="464"/>
      <c r="AI22" s="464"/>
      <c r="AJ22" s="464"/>
      <c r="AK22" s="464"/>
      <c r="AL22" s="464"/>
      <c r="AM22" s="469"/>
      <c r="AN22" s="469"/>
      <c r="AO22" s="469"/>
      <c r="AP22" s="111"/>
      <c r="AQ22" s="111"/>
      <c r="AR22" s="111"/>
      <c r="AS22" s="111"/>
      <c r="AT22" s="111"/>
      <c r="AU22" s="111"/>
      <c r="AV22" s="111"/>
      <c r="AW22" s="111"/>
      <c r="AX22" s="111"/>
      <c r="AY22" s="465"/>
      <c r="AZ22" s="465"/>
      <c r="BA22" s="465"/>
      <c r="BB22" s="465"/>
      <c r="BC22" s="465"/>
      <c r="BD22" s="466"/>
      <c r="BE22" s="467"/>
      <c r="BF22" s="466"/>
      <c r="BG22" s="467"/>
      <c r="BH22" s="111"/>
      <c r="BI22" s="111"/>
      <c r="BJ22" s="111"/>
      <c r="BK22" s="111"/>
      <c r="BL22" s="111"/>
      <c r="BM22" s="111"/>
      <c r="BN22" s="111"/>
      <c r="BS22" s="11" t="e">
        <f>WEEKDAY(AG22,2)</f>
        <v>#VALUE!</v>
      </c>
    </row>
    <row r="23" spans="1:71" ht="21" customHeight="1" x14ac:dyDescent="0.2">
      <c r="A23" s="470"/>
      <c r="B23" s="470"/>
      <c r="C23" s="470"/>
      <c r="D23" s="471"/>
      <c r="E23" s="471"/>
      <c r="F23" s="471"/>
      <c r="G23" s="471"/>
      <c r="H23" s="471"/>
      <c r="I23" s="471"/>
      <c r="J23" s="471"/>
      <c r="K23" s="471"/>
      <c r="L23" s="471"/>
      <c r="M23" s="471"/>
      <c r="N23" s="471"/>
      <c r="O23" s="471"/>
      <c r="P23" s="471"/>
      <c r="Q23" s="471"/>
      <c r="R23" s="387"/>
      <c r="S23" s="387"/>
      <c r="T23" s="387"/>
      <c r="U23" s="472"/>
      <c r="V23" s="473"/>
      <c r="W23" s="473"/>
      <c r="X23" s="473"/>
      <c r="Y23" s="473"/>
      <c r="Z23" s="474"/>
      <c r="AA23" s="389"/>
      <c r="AB23" s="389"/>
      <c r="AC23" s="389"/>
      <c r="AD23" s="387"/>
      <c r="AE23" s="387"/>
      <c r="AF23" s="387"/>
      <c r="AG23" s="475" t="str">
        <f t="shared" ref="AG23:AG41" si="0">IF(U23&gt;0,U23+AD23, " ")</f>
        <v xml:space="preserve"> </v>
      </c>
      <c r="AH23" s="476"/>
      <c r="AI23" s="476"/>
      <c r="AJ23" s="476"/>
      <c r="AK23" s="476"/>
      <c r="AL23" s="477"/>
      <c r="AM23" s="481"/>
      <c r="AN23" s="481"/>
      <c r="AO23" s="481"/>
      <c r="AP23" s="96"/>
      <c r="AQ23" s="96"/>
      <c r="AR23" s="96"/>
      <c r="AS23" s="96"/>
      <c r="AT23" s="96"/>
      <c r="AU23" s="96"/>
      <c r="AV23" s="96"/>
      <c r="AW23" s="96"/>
      <c r="AX23" s="96"/>
      <c r="AY23" s="478"/>
      <c r="AZ23" s="478"/>
      <c r="BA23" s="478"/>
      <c r="BB23" s="478"/>
      <c r="BC23" s="478"/>
      <c r="BD23" s="479"/>
      <c r="BE23" s="480"/>
      <c r="BF23" s="479"/>
      <c r="BG23" s="480"/>
      <c r="BH23" s="96"/>
      <c r="BI23" s="96"/>
      <c r="BJ23" s="96"/>
      <c r="BK23" s="96"/>
      <c r="BL23" s="96"/>
      <c r="BM23" s="96"/>
      <c r="BN23" s="96"/>
      <c r="BS23" s="11" t="e">
        <f t="shared" ref="BS23:BS41" si="1">WEEKDAY(AG23,2)</f>
        <v>#VALUE!</v>
      </c>
    </row>
    <row r="24" spans="1:71" ht="21" customHeight="1" x14ac:dyDescent="0.2">
      <c r="A24" s="470"/>
      <c r="B24" s="470"/>
      <c r="C24" s="470"/>
      <c r="D24" s="471"/>
      <c r="E24" s="471"/>
      <c r="F24" s="471"/>
      <c r="G24" s="471"/>
      <c r="H24" s="471"/>
      <c r="I24" s="471"/>
      <c r="J24" s="471"/>
      <c r="K24" s="471"/>
      <c r="L24" s="471"/>
      <c r="M24" s="471"/>
      <c r="N24" s="471"/>
      <c r="O24" s="471"/>
      <c r="P24" s="471"/>
      <c r="Q24" s="471"/>
      <c r="R24" s="387"/>
      <c r="S24" s="387"/>
      <c r="T24" s="387"/>
      <c r="U24" s="472"/>
      <c r="V24" s="473"/>
      <c r="W24" s="473"/>
      <c r="X24" s="473"/>
      <c r="Y24" s="473"/>
      <c r="Z24" s="474"/>
      <c r="AA24" s="389"/>
      <c r="AB24" s="389"/>
      <c r="AC24" s="389"/>
      <c r="AD24" s="387"/>
      <c r="AE24" s="387"/>
      <c r="AF24" s="387"/>
      <c r="AG24" s="475" t="str">
        <f t="shared" si="0"/>
        <v xml:space="preserve"> </v>
      </c>
      <c r="AH24" s="476"/>
      <c r="AI24" s="476"/>
      <c r="AJ24" s="476"/>
      <c r="AK24" s="476"/>
      <c r="AL24" s="477"/>
      <c r="AM24" s="481"/>
      <c r="AN24" s="481"/>
      <c r="AO24" s="481"/>
      <c r="AP24" s="96"/>
      <c r="AQ24" s="96"/>
      <c r="AR24" s="96"/>
      <c r="AS24" s="96"/>
      <c r="AT24" s="96"/>
      <c r="AU24" s="96"/>
      <c r="AV24" s="96"/>
      <c r="AW24" s="96"/>
      <c r="AX24" s="96"/>
      <c r="AY24" s="478"/>
      <c r="AZ24" s="478"/>
      <c r="BA24" s="478"/>
      <c r="BB24" s="478"/>
      <c r="BC24" s="478"/>
      <c r="BD24" s="479"/>
      <c r="BE24" s="480"/>
      <c r="BF24" s="479"/>
      <c r="BG24" s="480"/>
      <c r="BH24" s="96"/>
      <c r="BI24" s="96"/>
      <c r="BJ24" s="96"/>
      <c r="BK24" s="96"/>
      <c r="BL24" s="96"/>
      <c r="BM24" s="96"/>
      <c r="BN24" s="96"/>
      <c r="BS24" s="11" t="e">
        <f t="shared" si="1"/>
        <v>#VALUE!</v>
      </c>
    </row>
    <row r="25" spans="1:71" ht="21" customHeight="1" thickBot="1" x14ac:dyDescent="0.25">
      <c r="A25" s="482"/>
      <c r="B25" s="482"/>
      <c r="C25" s="482"/>
      <c r="D25" s="483"/>
      <c r="E25" s="483"/>
      <c r="F25" s="483"/>
      <c r="G25" s="483"/>
      <c r="H25" s="483"/>
      <c r="I25" s="483"/>
      <c r="J25" s="483"/>
      <c r="K25" s="483"/>
      <c r="L25" s="483"/>
      <c r="M25" s="483"/>
      <c r="N25" s="483"/>
      <c r="O25" s="483"/>
      <c r="P25" s="483"/>
      <c r="Q25" s="483"/>
      <c r="R25" s="484"/>
      <c r="S25" s="484"/>
      <c r="T25" s="484"/>
      <c r="U25" s="485"/>
      <c r="V25" s="486"/>
      <c r="W25" s="486"/>
      <c r="X25" s="486"/>
      <c r="Y25" s="486"/>
      <c r="Z25" s="487"/>
      <c r="AA25" s="494"/>
      <c r="AB25" s="494"/>
      <c r="AC25" s="494"/>
      <c r="AD25" s="484"/>
      <c r="AE25" s="484"/>
      <c r="AF25" s="484"/>
      <c r="AG25" s="488" t="str">
        <f t="shared" si="0"/>
        <v xml:space="preserve"> </v>
      </c>
      <c r="AH25" s="489"/>
      <c r="AI25" s="489"/>
      <c r="AJ25" s="489"/>
      <c r="AK25" s="489"/>
      <c r="AL25" s="490"/>
      <c r="AM25" s="495"/>
      <c r="AN25" s="495"/>
      <c r="AO25" s="495"/>
      <c r="AP25" s="112"/>
      <c r="AQ25" s="112"/>
      <c r="AR25" s="112"/>
      <c r="AS25" s="112"/>
      <c r="AT25" s="112"/>
      <c r="AU25" s="112"/>
      <c r="AV25" s="112"/>
      <c r="AW25" s="112"/>
      <c r="AX25" s="112"/>
      <c r="AY25" s="491"/>
      <c r="AZ25" s="491"/>
      <c r="BA25" s="491"/>
      <c r="BB25" s="491"/>
      <c r="BC25" s="491"/>
      <c r="BD25" s="492"/>
      <c r="BE25" s="493"/>
      <c r="BF25" s="492"/>
      <c r="BG25" s="493"/>
      <c r="BH25" s="112"/>
      <c r="BI25" s="112"/>
      <c r="BJ25" s="112"/>
      <c r="BK25" s="112"/>
      <c r="BL25" s="112"/>
      <c r="BM25" s="112"/>
      <c r="BN25" s="112"/>
      <c r="BS25" s="11" t="e">
        <f t="shared" si="1"/>
        <v>#VALUE!</v>
      </c>
    </row>
    <row r="26" spans="1:71" ht="21" customHeight="1" x14ac:dyDescent="0.2">
      <c r="A26" s="498"/>
      <c r="B26" s="498"/>
      <c r="C26" s="498"/>
      <c r="D26" s="499"/>
      <c r="E26" s="499"/>
      <c r="F26" s="499"/>
      <c r="G26" s="499"/>
      <c r="H26" s="499"/>
      <c r="I26" s="499"/>
      <c r="J26" s="499"/>
      <c r="K26" s="499"/>
      <c r="L26" s="499"/>
      <c r="M26" s="499"/>
      <c r="N26" s="499"/>
      <c r="O26" s="499"/>
      <c r="P26" s="499"/>
      <c r="Q26" s="499"/>
      <c r="R26" s="500"/>
      <c r="S26" s="500"/>
      <c r="T26" s="500"/>
      <c r="U26" s="363"/>
      <c r="V26" s="364"/>
      <c r="W26" s="364"/>
      <c r="X26" s="364"/>
      <c r="Y26" s="364"/>
      <c r="Z26" s="365"/>
      <c r="AA26" s="468"/>
      <c r="AB26" s="468"/>
      <c r="AC26" s="468"/>
      <c r="AD26" s="500"/>
      <c r="AE26" s="500"/>
      <c r="AF26" s="500"/>
      <c r="AG26" s="501" t="str">
        <f t="shared" si="0"/>
        <v xml:space="preserve"> </v>
      </c>
      <c r="AH26" s="502"/>
      <c r="AI26" s="502"/>
      <c r="AJ26" s="502"/>
      <c r="AK26" s="502"/>
      <c r="AL26" s="503"/>
      <c r="AM26" s="469"/>
      <c r="AN26" s="469"/>
      <c r="AO26" s="469"/>
      <c r="AP26" s="113"/>
      <c r="AQ26" s="113"/>
      <c r="AR26" s="113"/>
      <c r="AS26" s="113"/>
      <c r="AT26" s="113"/>
      <c r="AU26" s="113"/>
      <c r="AV26" s="113"/>
      <c r="AW26" s="113"/>
      <c r="AX26" s="113"/>
      <c r="AY26" s="374"/>
      <c r="AZ26" s="374"/>
      <c r="BA26" s="374"/>
      <c r="BB26" s="374"/>
      <c r="BC26" s="374"/>
      <c r="BD26" s="496"/>
      <c r="BE26" s="497"/>
      <c r="BF26" s="496"/>
      <c r="BG26" s="497"/>
      <c r="BH26" s="113"/>
      <c r="BI26" s="113"/>
      <c r="BJ26" s="113"/>
      <c r="BK26" s="113"/>
      <c r="BL26" s="113"/>
      <c r="BM26" s="113"/>
      <c r="BN26" s="113"/>
      <c r="BS26" s="11" t="e">
        <f t="shared" si="1"/>
        <v>#VALUE!</v>
      </c>
    </row>
    <row r="27" spans="1:71" ht="21" customHeight="1" x14ac:dyDescent="0.2">
      <c r="A27" s="470"/>
      <c r="B27" s="470"/>
      <c r="C27" s="470"/>
      <c r="D27" s="471"/>
      <c r="E27" s="471"/>
      <c r="F27" s="471"/>
      <c r="G27" s="471"/>
      <c r="H27" s="471"/>
      <c r="I27" s="471"/>
      <c r="J27" s="471"/>
      <c r="K27" s="471"/>
      <c r="L27" s="471"/>
      <c r="M27" s="471"/>
      <c r="N27" s="471"/>
      <c r="O27" s="471"/>
      <c r="P27" s="471"/>
      <c r="Q27" s="471"/>
      <c r="R27" s="387"/>
      <c r="S27" s="387"/>
      <c r="T27" s="387"/>
      <c r="U27" s="472"/>
      <c r="V27" s="473"/>
      <c r="W27" s="473"/>
      <c r="X27" s="473"/>
      <c r="Y27" s="473"/>
      <c r="Z27" s="474"/>
      <c r="AA27" s="389"/>
      <c r="AB27" s="389"/>
      <c r="AC27" s="389"/>
      <c r="AD27" s="387"/>
      <c r="AE27" s="387"/>
      <c r="AF27" s="387"/>
      <c r="AG27" s="475" t="str">
        <f t="shared" si="0"/>
        <v xml:space="preserve"> </v>
      </c>
      <c r="AH27" s="476"/>
      <c r="AI27" s="476"/>
      <c r="AJ27" s="476"/>
      <c r="AK27" s="476"/>
      <c r="AL27" s="477"/>
      <c r="AM27" s="481"/>
      <c r="AN27" s="481"/>
      <c r="AO27" s="481"/>
      <c r="AP27" s="96"/>
      <c r="AQ27" s="96"/>
      <c r="AR27" s="96"/>
      <c r="AS27" s="96"/>
      <c r="AT27" s="96"/>
      <c r="AU27" s="96"/>
      <c r="AV27" s="96"/>
      <c r="AW27" s="96"/>
      <c r="AX27" s="96"/>
      <c r="AY27" s="478"/>
      <c r="AZ27" s="478"/>
      <c r="BA27" s="478"/>
      <c r="BB27" s="478"/>
      <c r="BC27" s="478"/>
      <c r="BD27" s="479"/>
      <c r="BE27" s="480"/>
      <c r="BF27" s="479"/>
      <c r="BG27" s="480"/>
      <c r="BH27" s="96"/>
      <c r="BI27" s="96"/>
      <c r="BJ27" s="96"/>
      <c r="BK27" s="96"/>
      <c r="BL27" s="96"/>
      <c r="BM27" s="96"/>
      <c r="BN27" s="96"/>
      <c r="BS27" s="11" t="e">
        <f t="shared" si="1"/>
        <v>#VALUE!</v>
      </c>
    </row>
    <row r="28" spans="1:71" ht="21" customHeight="1" x14ac:dyDescent="0.2">
      <c r="A28" s="470"/>
      <c r="B28" s="470"/>
      <c r="C28" s="470"/>
      <c r="D28" s="471"/>
      <c r="E28" s="471"/>
      <c r="F28" s="471"/>
      <c r="G28" s="471"/>
      <c r="H28" s="471"/>
      <c r="I28" s="471"/>
      <c r="J28" s="471"/>
      <c r="K28" s="471"/>
      <c r="L28" s="471"/>
      <c r="M28" s="471"/>
      <c r="N28" s="471"/>
      <c r="O28" s="471"/>
      <c r="P28" s="471"/>
      <c r="Q28" s="471"/>
      <c r="R28" s="387"/>
      <c r="S28" s="387"/>
      <c r="T28" s="387"/>
      <c r="U28" s="472"/>
      <c r="V28" s="473"/>
      <c r="W28" s="473"/>
      <c r="X28" s="473"/>
      <c r="Y28" s="473"/>
      <c r="Z28" s="474"/>
      <c r="AA28" s="389"/>
      <c r="AB28" s="389"/>
      <c r="AC28" s="389"/>
      <c r="AD28" s="387"/>
      <c r="AE28" s="387"/>
      <c r="AF28" s="387"/>
      <c r="AG28" s="475" t="str">
        <f t="shared" si="0"/>
        <v xml:space="preserve"> </v>
      </c>
      <c r="AH28" s="476"/>
      <c r="AI28" s="476"/>
      <c r="AJ28" s="476"/>
      <c r="AK28" s="476"/>
      <c r="AL28" s="477"/>
      <c r="AM28" s="481"/>
      <c r="AN28" s="481"/>
      <c r="AO28" s="481"/>
      <c r="AP28" s="96"/>
      <c r="AQ28" s="96"/>
      <c r="AR28" s="96"/>
      <c r="AS28" s="96"/>
      <c r="AT28" s="96"/>
      <c r="AU28" s="96"/>
      <c r="AV28" s="96"/>
      <c r="AW28" s="96"/>
      <c r="AX28" s="96"/>
      <c r="AY28" s="478"/>
      <c r="AZ28" s="478"/>
      <c r="BA28" s="478"/>
      <c r="BB28" s="478"/>
      <c r="BC28" s="478"/>
      <c r="BD28" s="479"/>
      <c r="BE28" s="480"/>
      <c r="BF28" s="479"/>
      <c r="BG28" s="480"/>
      <c r="BH28" s="96"/>
      <c r="BI28" s="96"/>
      <c r="BJ28" s="96"/>
      <c r="BK28" s="96"/>
      <c r="BL28" s="96"/>
      <c r="BM28" s="96"/>
      <c r="BN28" s="96"/>
      <c r="BS28" s="11" t="e">
        <f t="shared" si="1"/>
        <v>#VALUE!</v>
      </c>
    </row>
    <row r="29" spans="1:71" ht="21" customHeight="1" thickBot="1" x14ac:dyDescent="0.25">
      <c r="A29" s="482"/>
      <c r="B29" s="482"/>
      <c r="C29" s="482"/>
      <c r="D29" s="483"/>
      <c r="E29" s="483"/>
      <c r="F29" s="483"/>
      <c r="G29" s="483"/>
      <c r="H29" s="483"/>
      <c r="I29" s="483"/>
      <c r="J29" s="483"/>
      <c r="K29" s="483"/>
      <c r="L29" s="483"/>
      <c r="M29" s="483"/>
      <c r="N29" s="483"/>
      <c r="O29" s="483"/>
      <c r="P29" s="483"/>
      <c r="Q29" s="483"/>
      <c r="R29" s="484"/>
      <c r="S29" s="484"/>
      <c r="T29" s="484"/>
      <c r="U29" s="485"/>
      <c r="V29" s="486"/>
      <c r="W29" s="486"/>
      <c r="X29" s="486"/>
      <c r="Y29" s="486"/>
      <c r="Z29" s="487"/>
      <c r="AA29" s="494"/>
      <c r="AB29" s="494"/>
      <c r="AC29" s="494"/>
      <c r="AD29" s="484"/>
      <c r="AE29" s="484"/>
      <c r="AF29" s="484"/>
      <c r="AG29" s="488" t="str">
        <f t="shared" si="0"/>
        <v xml:space="preserve"> </v>
      </c>
      <c r="AH29" s="489"/>
      <c r="AI29" s="489"/>
      <c r="AJ29" s="489"/>
      <c r="AK29" s="489"/>
      <c r="AL29" s="490"/>
      <c r="AM29" s="495"/>
      <c r="AN29" s="495"/>
      <c r="AO29" s="495"/>
      <c r="AP29" s="112"/>
      <c r="AQ29" s="112"/>
      <c r="AR29" s="112"/>
      <c r="AS29" s="112"/>
      <c r="AT29" s="112"/>
      <c r="AU29" s="112"/>
      <c r="AV29" s="112"/>
      <c r="AW29" s="112"/>
      <c r="AX29" s="112"/>
      <c r="AY29" s="491"/>
      <c r="AZ29" s="491"/>
      <c r="BA29" s="491"/>
      <c r="BB29" s="491"/>
      <c r="BC29" s="491"/>
      <c r="BD29" s="492"/>
      <c r="BE29" s="493"/>
      <c r="BF29" s="492"/>
      <c r="BG29" s="493"/>
      <c r="BH29" s="112"/>
      <c r="BI29" s="112"/>
      <c r="BJ29" s="112"/>
      <c r="BK29" s="112"/>
      <c r="BL29" s="112"/>
      <c r="BM29" s="112"/>
      <c r="BN29" s="112"/>
      <c r="BS29" s="11" t="e">
        <f t="shared" si="1"/>
        <v>#VALUE!</v>
      </c>
    </row>
    <row r="30" spans="1:71" ht="21" customHeight="1" x14ac:dyDescent="0.2">
      <c r="A30" s="458"/>
      <c r="B30" s="458"/>
      <c r="C30" s="458"/>
      <c r="D30" s="459"/>
      <c r="E30" s="459"/>
      <c r="F30" s="459"/>
      <c r="G30" s="459"/>
      <c r="H30" s="459"/>
      <c r="I30" s="459"/>
      <c r="J30" s="459"/>
      <c r="K30" s="459"/>
      <c r="L30" s="459"/>
      <c r="M30" s="459"/>
      <c r="N30" s="459"/>
      <c r="O30" s="459"/>
      <c r="P30" s="459"/>
      <c r="Q30" s="459"/>
      <c r="R30" s="460"/>
      <c r="S30" s="460"/>
      <c r="T30" s="460"/>
      <c r="U30" s="461"/>
      <c r="V30" s="462"/>
      <c r="W30" s="462"/>
      <c r="X30" s="462"/>
      <c r="Y30" s="462"/>
      <c r="Z30" s="463"/>
      <c r="AA30" s="468"/>
      <c r="AB30" s="468"/>
      <c r="AC30" s="468"/>
      <c r="AD30" s="460"/>
      <c r="AE30" s="460"/>
      <c r="AF30" s="460"/>
      <c r="AG30" s="501" t="str">
        <f t="shared" si="0"/>
        <v xml:space="preserve"> </v>
      </c>
      <c r="AH30" s="502"/>
      <c r="AI30" s="502"/>
      <c r="AJ30" s="502"/>
      <c r="AK30" s="502"/>
      <c r="AL30" s="503"/>
      <c r="AM30" s="469"/>
      <c r="AN30" s="469"/>
      <c r="AO30" s="469"/>
      <c r="AP30" s="111"/>
      <c r="AQ30" s="111"/>
      <c r="AR30" s="111"/>
      <c r="AS30" s="111"/>
      <c r="AT30" s="111"/>
      <c r="AU30" s="111"/>
      <c r="AV30" s="111"/>
      <c r="AW30" s="111"/>
      <c r="AX30" s="111"/>
      <c r="AY30" s="465"/>
      <c r="AZ30" s="465"/>
      <c r="BA30" s="465"/>
      <c r="BB30" s="465"/>
      <c r="BC30" s="465"/>
      <c r="BD30" s="466"/>
      <c r="BE30" s="467"/>
      <c r="BF30" s="466"/>
      <c r="BG30" s="467"/>
      <c r="BH30" s="111"/>
      <c r="BI30" s="111"/>
      <c r="BJ30" s="111"/>
      <c r="BK30" s="111"/>
      <c r="BL30" s="111"/>
      <c r="BM30" s="111"/>
      <c r="BN30" s="111"/>
      <c r="BS30" s="11" t="e">
        <f t="shared" si="1"/>
        <v>#VALUE!</v>
      </c>
    </row>
    <row r="31" spans="1:71" ht="21" customHeight="1" x14ac:dyDescent="0.2">
      <c r="A31" s="470"/>
      <c r="B31" s="470"/>
      <c r="C31" s="470"/>
      <c r="D31" s="471"/>
      <c r="E31" s="471"/>
      <c r="F31" s="471"/>
      <c r="G31" s="471"/>
      <c r="H31" s="471"/>
      <c r="I31" s="471"/>
      <c r="J31" s="471"/>
      <c r="K31" s="471"/>
      <c r="L31" s="471"/>
      <c r="M31" s="471"/>
      <c r="N31" s="471"/>
      <c r="O31" s="471"/>
      <c r="P31" s="471"/>
      <c r="Q31" s="471"/>
      <c r="R31" s="387"/>
      <c r="S31" s="387"/>
      <c r="T31" s="387"/>
      <c r="U31" s="472"/>
      <c r="V31" s="473"/>
      <c r="W31" s="473"/>
      <c r="X31" s="473"/>
      <c r="Y31" s="473"/>
      <c r="Z31" s="474"/>
      <c r="AA31" s="389"/>
      <c r="AB31" s="389"/>
      <c r="AC31" s="389"/>
      <c r="AD31" s="387"/>
      <c r="AE31" s="387"/>
      <c r="AF31" s="387"/>
      <c r="AG31" s="475" t="str">
        <f t="shared" si="0"/>
        <v xml:space="preserve"> </v>
      </c>
      <c r="AH31" s="476"/>
      <c r="AI31" s="476"/>
      <c r="AJ31" s="476"/>
      <c r="AK31" s="476"/>
      <c r="AL31" s="477"/>
      <c r="AM31" s="481"/>
      <c r="AN31" s="481"/>
      <c r="AO31" s="481"/>
      <c r="AP31" s="96"/>
      <c r="AQ31" s="96"/>
      <c r="AR31" s="96"/>
      <c r="AS31" s="96"/>
      <c r="AT31" s="96"/>
      <c r="AU31" s="96"/>
      <c r="AV31" s="96"/>
      <c r="AW31" s="96"/>
      <c r="AX31" s="96"/>
      <c r="AY31" s="478"/>
      <c r="AZ31" s="478"/>
      <c r="BA31" s="478"/>
      <c r="BB31" s="478"/>
      <c r="BC31" s="478"/>
      <c r="BD31" s="479"/>
      <c r="BE31" s="480"/>
      <c r="BF31" s="479"/>
      <c r="BG31" s="480"/>
      <c r="BH31" s="96"/>
      <c r="BI31" s="96"/>
      <c r="BJ31" s="96"/>
      <c r="BK31" s="96"/>
      <c r="BL31" s="96"/>
      <c r="BM31" s="96"/>
      <c r="BN31" s="96"/>
      <c r="BS31" s="11" t="e">
        <f t="shared" si="1"/>
        <v>#VALUE!</v>
      </c>
    </row>
    <row r="32" spans="1:71" ht="21" customHeight="1" x14ac:dyDescent="0.2">
      <c r="A32" s="470"/>
      <c r="B32" s="470"/>
      <c r="C32" s="470"/>
      <c r="D32" s="471"/>
      <c r="E32" s="471"/>
      <c r="F32" s="471"/>
      <c r="G32" s="471"/>
      <c r="H32" s="471"/>
      <c r="I32" s="471"/>
      <c r="J32" s="471"/>
      <c r="K32" s="471"/>
      <c r="L32" s="471"/>
      <c r="M32" s="471"/>
      <c r="N32" s="471"/>
      <c r="O32" s="471"/>
      <c r="P32" s="471"/>
      <c r="Q32" s="471"/>
      <c r="R32" s="387"/>
      <c r="S32" s="387"/>
      <c r="T32" s="387"/>
      <c r="U32" s="472"/>
      <c r="V32" s="473"/>
      <c r="W32" s="473"/>
      <c r="X32" s="473"/>
      <c r="Y32" s="473"/>
      <c r="Z32" s="474"/>
      <c r="AA32" s="389"/>
      <c r="AB32" s="389"/>
      <c r="AC32" s="389"/>
      <c r="AD32" s="387"/>
      <c r="AE32" s="387"/>
      <c r="AF32" s="387"/>
      <c r="AG32" s="475" t="str">
        <f t="shared" si="0"/>
        <v xml:space="preserve"> </v>
      </c>
      <c r="AH32" s="476"/>
      <c r="AI32" s="476"/>
      <c r="AJ32" s="476"/>
      <c r="AK32" s="476"/>
      <c r="AL32" s="477"/>
      <c r="AM32" s="481"/>
      <c r="AN32" s="481"/>
      <c r="AO32" s="481"/>
      <c r="AP32" s="96"/>
      <c r="AQ32" s="96"/>
      <c r="AR32" s="96"/>
      <c r="AS32" s="96"/>
      <c r="AT32" s="96"/>
      <c r="AU32" s="96"/>
      <c r="AV32" s="96"/>
      <c r="AW32" s="96"/>
      <c r="AX32" s="96"/>
      <c r="AY32" s="478"/>
      <c r="AZ32" s="478"/>
      <c r="BA32" s="478"/>
      <c r="BB32" s="478"/>
      <c r="BC32" s="478"/>
      <c r="BD32" s="479"/>
      <c r="BE32" s="480"/>
      <c r="BF32" s="479"/>
      <c r="BG32" s="480"/>
      <c r="BH32" s="96"/>
      <c r="BI32" s="96"/>
      <c r="BJ32" s="96"/>
      <c r="BK32" s="96"/>
      <c r="BL32" s="96"/>
      <c r="BM32" s="96"/>
      <c r="BN32" s="96"/>
      <c r="BS32" s="11" t="e">
        <f t="shared" si="1"/>
        <v>#VALUE!</v>
      </c>
    </row>
    <row r="33" spans="1:71" ht="21" customHeight="1" thickBot="1" x14ac:dyDescent="0.25">
      <c r="A33" s="482"/>
      <c r="B33" s="482"/>
      <c r="C33" s="482"/>
      <c r="D33" s="483"/>
      <c r="E33" s="483"/>
      <c r="F33" s="483"/>
      <c r="G33" s="483"/>
      <c r="H33" s="483"/>
      <c r="I33" s="483"/>
      <c r="J33" s="483"/>
      <c r="K33" s="483"/>
      <c r="L33" s="483"/>
      <c r="M33" s="483"/>
      <c r="N33" s="483"/>
      <c r="O33" s="483"/>
      <c r="P33" s="483"/>
      <c r="Q33" s="483"/>
      <c r="R33" s="484"/>
      <c r="S33" s="484"/>
      <c r="T33" s="484"/>
      <c r="U33" s="485"/>
      <c r="V33" s="486"/>
      <c r="W33" s="486"/>
      <c r="X33" s="486"/>
      <c r="Y33" s="486"/>
      <c r="Z33" s="487"/>
      <c r="AA33" s="494"/>
      <c r="AB33" s="494"/>
      <c r="AC33" s="494"/>
      <c r="AD33" s="484"/>
      <c r="AE33" s="484"/>
      <c r="AF33" s="484"/>
      <c r="AG33" s="488" t="str">
        <f t="shared" si="0"/>
        <v xml:space="preserve"> </v>
      </c>
      <c r="AH33" s="489"/>
      <c r="AI33" s="489"/>
      <c r="AJ33" s="489"/>
      <c r="AK33" s="489"/>
      <c r="AL33" s="490"/>
      <c r="AM33" s="495"/>
      <c r="AN33" s="495"/>
      <c r="AO33" s="495"/>
      <c r="AP33" s="112"/>
      <c r="AQ33" s="112"/>
      <c r="AR33" s="112"/>
      <c r="AS33" s="112"/>
      <c r="AT33" s="112"/>
      <c r="AU33" s="112"/>
      <c r="AV33" s="112"/>
      <c r="AW33" s="112"/>
      <c r="AX33" s="112"/>
      <c r="AY33" s="491"/>
      <c r="AZ33" s="491"/>
      <c r="BA33" s="491"/>
      <c r="BB33" s="491"/>
      <c r="BC33" s="491"/>
      <c r="BD33" s="492"/>
      <c r="BE33" s="493"/>
      <c r="BF33" s="492"/>
      <c r="BG33" s="493"/>
      <c r="BH33" s="112"/>
      <c r="BI33" s="112"/>
      <c r="BJ33" s="112"/>
      <c r="BK33" s="112"/>
      <c r="BL33" s="112"/>
      <c r="BM33" s="112"/>
      <c r="BN33" s="112"/>
      <c r="BS33" s="11" t="e">
        <f t="shared" si="1"/>
        <v>#VALUE!</v>
      </c>
    </row>
    <row r="34" spans="1:71" ht="21" customHeight="1" x14ac:dyDescent="0.2">
      <c r="A34" s="458"/>
      <c r="B34" s="458"/>
      <c r="C34" s="458"/>
      <c r="D34" s="459"/>
      <c r="E34" s="459"/>
      <c r="F34" s="459"/>
      <c r="G34" s="459"/>
      <c r="H34" s="459"/>
      <c r="I34" s="459"/>
      <c r="J34" s="459"/>
      <c r="K34" s="459"/>
      <c r="L34" s="459"/>
      <c r="M34" s="459"/>
      <c r="N34" s="459"/>
      <c r="O34" s="459"/>
      <c r="P34" s="459"/>
      <c r="Q34" s="459"/>
      <c r="R34" s="460"/>
      <c r="S34" s="460"/>
      <c r="T34" s="460"/>
      <c r="U34" s="461"/>
      <c r="V34" s="462"/>
      <c r="W34" s="462"/>
      <c r="X34" s="462"/>
      <c r="Y34" s="462"/>
      <c r="Z34" s="463"/>
      <c r="AA34" s="468"/>
      <c r="AB34" s="468"/>
      <c r="AC34" s="468"/>
      <c r="AD34" s="460"/>
      <c r="AE34" s="460"/>
      <c r="AF34" s="460"/>
      <c r="AG34" s="501" t="str">
        <f t="shared" si="0"/>
        <v xml:space="preserve"> </v>
      </c>
      <c r="AH34" s="502"/>
      <c r="AI34" s="502"/>
      <c r="AJ34" s="502"/>
      <c r="AK34" s="502"/>
      <c r="AL34" s="503"/>
      <c r="AM34" s="469"/>
      <c r="AN34" s="469"/>
      <c r="AO34" s="469"/>
      <c r="AP34" s="111"/>
      <c r="AQ34" s="111"/>
      <c r="AR34" s="111"/>
      <c r="AS34" s="111"/>
      <c r="AT34" s="111"/>
      <c r="AU34" s="111"/>
      <c r="AV34" s="111"/>
      <c r="AW34" s="111"/>
      <c r="AX34" s="111"/>
      <c r="AY34" s="465"/>
      <c r="AZ34" s="465"/>
      <c r="BA34" s="465"/>
      <c r="BB34" s="465"/>
      <c r="BC34" s="465"/>
      <c r="BD34" s="466"/>
      <c r="BE34" s="467"/>
      <c r="BF34" s="466"/>
      <c r="BG34" s="467"/>
      <c r="BH34" s="111"/>
      <c r="BI34" s="111"/>
      <c r="BJ34" s="111"/>
      <c r="BK34" s="111"/>
      <c r="BL34" s="111"/>
      <c r="BM34" s="111"/>
      <c r="BN34" s="111"/>
      <c r="BS34" s="11" t="e">
        <f t="shared" si="1"/>
        <v>#VALUE!</v>
      </c>
    </row>
    <row r="35" spans="1:71" ht="21" customHeight="1" x14ac:dyDescent="0.2">
      <c r="A35" s="470"/>
      <c r="B35" s="470"/>
      <c r="C35" s="470"/>
      <c r="D35" s="471"/>
      <c r="E35" s="471"/>
      <c r="F35" s="471"/>
      <c r="G35" s="471"/>
      <c r="H35" s="471"/>
      <c r="I35" s="471"/>
      <c r="J35" s="471"/>
      <c r="K35" s="471"/>
      <c r="L35" s="471"/>
      <c r="M35" s="471"/>
      <c r="N35" s="471"/>
      <c r="O35" s="471"/>
      <c r="P35" s="471"/>
      <c r="Q35" s="471"/>
      <c r="R35" s="387"/>
      <c r="S35" s="387"/>
      <c r="T35" s="387"/>
      <c r="U35" s="472"/>
      <c r="V35" s="473"/>
      <c r="W35" s="473"/>
      <c r="X35" s="473"/>
      <c r="Y35" s="473"/>
      <c r="Z35" s="474"/>
      <c r="AA35" s="389"/>
      <c r="AB35" s="389"/>
      <c r="AC35" s="389"/>
      <c r="AD35" s="387"/>
      <c r="AE35" s="387"/>
      <c r="AF35" s="387"/>
      <c r="AG35" s="475" t="str">
        <f t="shared" si="0"/>
        <v xml:space="preserve"> </v>
      </c>
      <c r="AH35" s="476"/>
      <c r="AI35" s="476"/>
      <c r="AJ35" s="476"/>
      <c r="AK35" s="476"/>
      <c r="AL35" s="477"/>
      <c r="AM35" s="481"/>
      <c r="AN35" s="481"/>
      <c r="AO35" s="481"/>
      <c r="AP35" s="96"/>
      <c r="AQ35" s="96"/>
      <c r="AR35" s="96"/>
      <c r="AS35" s="96"/>
      <c r="AT35" s="96"/>
      <c r="AU35" s="96"/>
      <c r="AV35" s="96"/>
      <c r="AW35" s="96"/>
      <c r="AX35" s="96"/>
      <c r="AY35" s="478"/>
      <c r="AZ35" s="478"/>
      <c r="BA35" s="478"/>
      <c r="BB35" s="478"/>
      <c r="BC35" s="478"/>
      <c r="BD35" s="479"/>
      <c r="BE35" s="480"/>
      <c r="BF35" s="479"/>
      <c r="BG35" s="480"/>
      <c r="BH35" s="96"/>
      <c r="BI35" s="96"/>
      <c r="BJ35" s="96"/>
      <c r="BK35" s="96"/>
      <c r="BL35" s="96"/>
      <c r="BM35" s="96"/>
      <c r="BN35" s="96"/>
      <c r="BS35" s="11" t="e">
        <f t="shared" si="1"/>
        <v>#VALUE!</v>
      </c>
    </row>
    <row r="36" spans="1:71" ht="21" customHeight="1" x14ac:dyDescent="0.2">
      <c r="A36" s="470"/>
      <c r="B36" s="470"/>
      <c r="C36" s="470"/>
      <c r="D36" s="471"/>
      <c r="E36" s="471"/>
      <c r="F36" s="471"/>
      <c r="G36" s="471"/>
      <c r="H36" s="471"/>
      <c r="I36" s="471"/>
      <c r="J36" s="471"/>
      <c r="K36" s="471"/>
      <c r="L36" s="471"/>
      <c r="M36" s="471"/>
      <c r="N36" s="471"/>
      <c r="O36" s="471"/>
      <c r="P36" s="471"/>
      <c r="Q36" s="471"/>
      <c r="R36" s="387"/>
      <c r="S36" s="387"/>
      <c r="T36" s="387"/>
      <c r="U36" s="472"/>
      <c r="V36" s="473"/>
      <c r="W36" s="473"/>
      <c r="X36" s="473"/>
      <c r="Y36" s="473"/>
      <c r="Z36" s="474"/>
      <c r="AA36" s="389"/>
      <c r="AB36" s="389"/>
      <c r="AC36" s="389"/>
      <c r="AD36" s="387"/>
      <c r="AE36" s="387"/>
      <c r="AF36" s="387"/>
      <c r="AG36" s="475" t="str">
        <f t="shared" si="0"/>
        <v xml:space="preserve"> </v>
      </c>
      <c r="AH36" s="476"/>
      <c r="AI36" s="476"/>
      <c r="AJ36" s="476"/>
      <c r="AK36" s="476"/>
      <c r="AL36" s="477"/>
      <c r="AM36" s="481"/>
      <c r="AN36" s="481"/>
      <c r="AO36" s="481"/>
      <c r="AP36" s="96"/>
      <c r="AQ36" s="96"/>
      <c r="AR36" s="96"/>
      <c r="AS36" s="96"/>
      <c r="AT36" s="96"/>
      <c r="AU36" s="96"/>
      <c r="AV36" s="96"/>
      <c r="AW36" s="96"/>
      <c r="AX36" s="96"/>
      <c r="AY36" s="478"/>
      <c r="AZ36" s="478"/>
      <c r="BA36" s="478"/>
      <c r="BB36" s="478"/>
      <c r="BC36" s="478"/>
      <c r="BD36" s="479"/>
      <c r="BE36" s="480"/>
      <c r="BF36" s="479"/>
      <c r="BG36" s="480"/>
      <c r="BH36" s="96"/>
      <c r="BI36" s="96"/>
      <c r="BJ36" s="96"/>
      <c r="BK36" s="96"/>
      <c r="BL36" s="96"/>
      <c r="BM36" s="96"/>
      <c r="BN36" s="96"/>
      <c r="BS36" s="11" t="e">
        <f t="shared" si="1"/>
        <v>#VALUE!</v>
      </c>
    </row>
    <row r="37" spans="1:71" ht="21" customHeight="1" thickBot="1" x14ac:dyDescent="0.25">
      <c r="A37" s="482"/>
      <c r="B37" s="482"/>
      <c r="C37" s="482"/>
      <c r="D37" s="483"/>
      <c r="E37" s="483"/>
      <c r="F37" s="483"/>
      <c r="G37" s="483"/>
      <c r="H37" s="483"/>
      <c r="I37" s="483"/>
      <c r="J37" s="483"/>
      <c r="K37" s="483"/>
      <c r="L37" s="483"/>
      <c r="M37" s="483"/>
      <c r="N37" s="483"/>
      <c r="O37" s="483"/>
      <c r="P37" s="483"/>
      <c r="Q37" s="483"/>
      <c r="R37" s="484"/>
      <c r="S37" s="484"/>
      <c r="T37" s="484"/>
      <c r="U37" s="485"/>
      <c r="V37" s="486"/>
      <c r="W37" s="486"/>
      <c r="X37" s="486"/>
      <c r="Y37" s="486"/>
      <c r="Z37" s="487"/>
      <c r="AA37" s="494"/>
      <c r="AB37" s="494"/>
      <c r="AC37" s="494"/>
      <c r="AD37" s="484"/>
      <c r="AE37" s="484"/>
      <c r="AF37" s="484"/>
      <c r="AG37" s="488" t="str">
        <f t="shared" si="0"/>
        <v xml:space="preserve"> </v>
      </c>
      <c r="AH37" s="489"/>
      <c r="AI37" s="489"/>
      <c r="AJ37" s="489"/>
      <c r="AK37" s="489"/>
      <c r="AL37" s="490"/>
      <c r="AM37" s="495"/>
      <c r="AN37" s="495"/>
      <c r="AO37" s="495"/>
      <c r="AP37" s="112"/>
      <c r="AQ37" s="112"/>
      <c r="AR37" s="112"/>
      <c r="AS37" s="112"/>
      <c r="AT37" s="112"/>
      <c r="AU37" s="112"/>
      <c r="AV37" s="112"/>
      <c r="AW37" s="112"/>
      <c r="AX37" s="112"/>
      <c r="AY37" s="491"/>
      <c r="AZ37" s="491"/>
      <c r="BA37" s="491"/>
      <c r="BB37" s="491"/>
      <c r="BC37" s="491"/>
      <c r="BD37" s="492"/>
      <c r="BE37" s="493"/>
      <c r="BF37" s="492"/>
      <c r="BG37" s="493"/>
      <c r="BH37" s="112"/>
      <c r="BI37" s="112"/>
      <c r="BJ37" s="112"/>
      <c r="BK37" s="112"/>
      <c r="BL37" s="112"/>
      <c r="BM37" s="112"/>
      <c r="BN37" s="112"/>
      <c r="BS37" s="11" t="e">
        <f t="shared" si="1"/>
        <v>#VALUE!</v>
      </c>
    </row>
    <row r="38" spans="1:71" ht="21" customHeight="1" x14ac:dyDescent="0.2">
      <c r="A38" s="458"/>
      <c r="B38" s="458"/>
      <c r="C38" s="458"/>
      <c r="D38" s="459"/>
      <c r="E38" s="459"/>
      <c r="F38" s="459"/>
      <c r="G38" s="459"/>
      <c r="H38" s="459"/>
      <c r="I38" s="459"/>
      <c r="J38" s="459"/>
      <c r="K38" s="459"/>
      <c r="L38" s="459"/>
      <c r="M38" s="459"/>
      <c r="N38" s="459"/>
      <c r="O38" s="459"/>
      <c r="P38" s="459"/>
      <c r="Q38" s="459"/>
      <c r="R38" s="460"/>
      <c r="S38" s="460"/>
      <c r="T38" s="460"/>
      <c r="U38" s="461"/>
      <c r="V38" s="462"/>
      <c r="W38" s="462"/>
      <c r="X38" s="462"/>
      <c r="Y38" s="462"/>
      <c r="Z38" s="463"/>
      <c r="AA38" s="468"/>
      <c r="AB38" s="468"/>
      <c r="AC38" s="468"/>
      <c r="AD38" s="460"/>
      <c r="AE38" s="460"/>
      <c r="AF38" s="460"/>
      <c r="AG38" s="501" t="str">
        <f t="shared" si="0"/>
        <v xml:space="preserve"> </v>
      </c>
      <c r="AH38" s="502"/>
      <c r="AI38" s="502"/>
      <c r="AJ38" s="502"/>
      <c r="AK38" s="502"/>
      <c r="AL38" s="503"/>
      <c r="AM38" s="469"/>
      <c r="AN38" s="469"/>
      <c r="AO38" s="469"/>
      <c r="AP38" s="111"/>
      <c r="AQ38" s="111"/>
      <c r="AR38" s="111"/>
      <c r="AS38" s="111"/>
      <c r="AT38" s="111"/>
      <c r="AU38" s="111"/>
      <c r="AV38" s="111"/>
      <c r="AW38" s="111"/>
      <c r="AX38" s="111"/>
      <c r="AY38" s="465"/>
      <c r="AZ38" s="465"/>
      <c r="BA38" s="465"/>
      <c r="BB38" s="465"/>
      <c r="BC38" s="465"/>
      <c r="BD38" s="466"/>
      <c r="BE38" s="467"/>
      <c r="BF38" s="466"/>
      <c r="BG38" s="467"/>
      <c r="BH38" s="111"/>
      <c r="BI38" s="111"/>
      <c r="BJ38" s="111"/>
      <c r="BK38" s="111"/>
      <c r="BL38" s="111"/>
      <c r="BM38" s="111"/>
      <c r="BN38" s="111"/>
      <c r="BS38" s="11" t="e">
        <f t="shared" si="1"/>
        <v>#VALUE!</v>
      </c>
    </row>
    <row r="39" spans="1:71" ht="21" customHeight="1" x14ac:dyDescent="0.2">
      <c r="A39" s="470"/>
      <c r="B39" s="470"/>
      <c r="C39" s="470"/>
      <c r="D39" s="471"/>
      <c r="E39" s="471"/>
      <c r="F39" s="471"/>
      <c r="G39" s="471"/>
      <c r="H39" s="471"/>
      <c r="I39" s="471"/>
      <c r="J39" s="471"/>
      <c r="K39" s="471"/>
      <c r="L39" s="471"/>
      <c r="M39" s="471"/>
      <c r="N39" s="471"/>
      <c r="O39" s="471"/>
      <c r="P39" s="471"/>
      <c r="Q39" s="471"/>
      <c r="R39" s="387"/>
      <c r="S39" s="387"/>
      <c r="T39" s="387"/>
      <c r="U39" s="472"/>
      <c r="V39" s="473"/>
      <c r="W39" s="473"/>
      <c r="X39" s="473"/>
      <c r="Y39" s="473"/>
      <c r="Z39" s="474"/>
      <c r="AA39" s="389"/>
      <c r="AB39" s="389"/>
      <c r="AC39" s="389"/>
      <c r="AD39" s="387"/>
      <c r="AE39" s="387"/>
      <c r="AF39" s="387"/>
      <c r="AG39" s="475" t="str">
        <f t="shared" si="0"/>
        <v xml:space="preserve"> </v>
      </c>
      <c r="AH39" s="476"/>
      <c r="AI39" s="476"/>
      <c r="AJ39" s="476"/>
      <c r="AK39" s="476"/>
      <c r="AL39" s="477"/>
      <c r="AM39" s="481"/>
      <c r="AN39" s="481"/>
      <c r="AO39" s="481"/>
      <c r="AP39" s="96"/>
      <c r="AQ39" s="96"/>
      <c r="AR39" s="96"/>
      <c r="AS39" s="96"/>
      <c r="AT39" s="96"/>
      <c r="AU39" s="96"/>
      <c r="AV39" s="96"/>
      <c r="AW39" s="96"/>
      <c r="AX39" s="96"/>
      <c r="AY39" s="478"/>
      <c r="AZ39" s="478"/>
      <c r="BA39" s="478"/>
      <c r="BB39" s="478"/>
      <c r="BC39" s="478"/>
      <c r="BD39" s="479"/>
      <c r="BE39" s="480"/>
      <c r="BF39" s="479"/>
      <c r="BG39" s="480"/>
      <c r="BH39" s="96"/>
      <c r="BI39" s="96"/>
      <c r="BJ39" s="96"/>
      <c r="BK39" s="96"/>
      <c r="BL39" s="96"/>
      <c r="BM39" s="96"/>
      <c r="BN39" s="96"/>
      <c r="BS39" s="11" t="e">
        <f t="shared" si="1"/>
        <v>#VALUE!</v>
      </c>
    </row>
    <row r="40" spans="1:71" ht="21" customHeight="1" x14ac:dyDescent="0.2">
      <c r="A40" s="470"/>
      <c r="B40" s="470"/>
      <c r="C40" s="470"/>
      <c r="D40" s="471"/>
      <c r="E40" s="471"/>
      <c r="F40" s="471"/>
      <c r="G40" s="471"/>
      <c r="H40" s="471"/>
      <c r="I40" s="471"/>
      <c r="J40" s="471"/>
      <c r="K40" s="471"/>
      <c r="L40" s="471"/>
      <c r="M40" s="471"/>
      <c r="N40" s="471"/>
      <c r="O40" s="471"/>
      <c r="P40" s="471"/>
      <c r="Q40" s="471"/>
      <c r="R40" s="387"/>
      <c r="S40" s="387"/>
      <c r="T40" s="387"/>
      <c r="U40" s="472"/>
      <c r="V40" s="473"/>
      <c r="W40" s="473"/>
      <c r="X40" s="473"/>
      <c r="Y40" s="473"/>
      <c r="Z40" s="474"/>
      <c r="AA40" s="389"/>
      <c r="AB40" s="389"/>
      <c r="AC40" s="389"/>
      <c r="AD40" s="387"/>
      <c r="AE40" s="387"/>
      <c r="AF40" s="387"/>
      <c r="AG40" s="475" t="str">
        <f t="shared" si="0"/>
        <v xml:space="preserve"> </v>
      </c>
      <c r="AH40" s="476"/>
      <c r="AI40" s="476"/>
      <c r="AJ40" s="476"/>
      <c r="AK40" s="476"/>
      <c r="AL40" s="477"/>
      <c r="AM40" s="481"/>
      <c r="AN40" s="481"/>
      <c r="AO40" s="481"/>
      <c r="AP40" s="96"/>
      <c r="AQ40" s="96"/>
      <c r="AR40" s="96"/>
      <c r="AS40" s="96"/>
      <c r="AT40" s="96"/>
      <c r="AU40" s="96"/>
      <c r="AV40" s="96"/>
      <c r="AW40" s="96"/>
      <c r="AX40" s="96"/>
      <c r="AY40" s="478"/>
      <c r="AZ40" s="478"/>
      <c r="BA40" s="478"/>
      <c r="BB40" s="478"/>
      <c r="BC40" s="478"/>
      <c r="BD40" s="479"/>
      <c r="BE40" s="480"/>
      <c r="BF40" s="479"/>
      <c r="BG40" s="480"/>
      <c r="BH40" s="96"/>
      <c r="BI40" s="96"/>
      <c r="BJ40" s="96"/>
      <c r="BK40" s="96"/>
      <c r="BL40" s="96"/>
      <c r="BM40" s="96"/>
      <c r="BN40" s="96"/>
      <c r="BS40" s="11" t="e">
        <f t="shared" si="1"/>
        <v>#VALUE!</v>
      </c>
    </row>
    <row r="41" spans="1:71" ht="21" customHeight="1" x14ac:dyDescent="0.2">
      <c r="A41" s="504"/>
      <c r="B41" s="504"/>
      <c r="C41" s="504"/>
      <c r="D41" s="505"/>
      <c r="E41" s="505"/>
      <c r="F41" s="505"/>
      <c r="G41" s="505"/>
      <c r="H41" s="505"/>
      <c r="I41" s="505"/>
      <c r="J41" s="505"/>
      <c r="K41" s="505"/>
      <c r="L41" s="505"/>
      <c r="M41" s="505"/>
      <c r="N41" s="505"/>
      <c r="O41" s="505"/>
      <c r="P41" s="505"/>
      <c r="Q41" s="505"/>
      <c r="R41" s="506"/>
      <c r="S41" s="506"/>
      <c r="T41" s="506"/>
      <c r="U41" s="507"/>
      <c r="V41" s="508"/>
      <c r="W41" s="508"/>
      <c r="X41" s="508"/>
      <c r="Y41" s="508"/>
      <c r="Z41" s="509"/>
      <c r="AA41" s="389"/>
      <c r="AB41" s="389"/>
      <c r="AC41" s="389"/>
      <c r="AD41" s="506"/>
      <c r="AE41" s="506"/>
      <c r="AF41" s="506"/>
      <c r="AG41" s="475" t="str">
        <f t="shared" si="0"/>
        <v xml:space="preserve"> </v>
      </c>
      <c r="AH41" s="476"/>
      <c r="AI41" s="476"/>
      <c r="AJ41" s="476"/>
      <c r="AK41" s="476"/>
      <c r="AL41" s="477"/>
      <c r="AM41" s="481"/>
      <c r="AN41" s="481"/>
      <c r="AO41" s="481"/>
      <c r="AP41" s="114"/>
      <c r="AQ41" s="114"/>
      <c r="AR41" s="114"/>
      <c r="AS41" s="114"/>
      <c r="AT41" s="114"/>
      <c r="AU41" s="114"/>
      <c r="AV41" s="114"/>
      <c r="AW41" s="114"/>
      <c r="AX41" s="114"/>
      <c r="AY41" s="510"/>
      <c r="AZ41" s="510"/>
      <c r="BA41" s="510"/>
      <c r="BB41" s="510"/>
      <c r="BC41" s="510"/>
      <c r="BD41" s="511"/>
      <c r="BE41" s="512"/>
      <c r="BF41" s="511"/>
      <c r="BG41" s="512"/>
      <c r="BH41" s="114"/>
      <c r="BI41" s="114"/>
      <c r="BJ41" s="114"/>
      <c r="BK41" s="114"/>
      <c r="BL41" s="114"/>
      <c r="BM41" s="114"/>
      <c r="BN41" s="114"/>
      <c r="BS41" s="11" t="e">
        <f t="shared" si="1"/>
        <v>#VALUE!</v>
      </c>
    </row>
    <row r="42" spans="1:71" s="12" customFormat="1" ht="19.5" customHeight="1" x14ac:dyDescent="0.2">
      <c r="A42" s="115" t="s">
        <v>296</v>
      </c>
      <c r="B42" s="116"/>
      <c r="C42" s="44"/>
      <c r="D42" s="44"/>
      <c r="E42" s="116"/>
      <c r="F42" s="116" t="s">
        <v>297</v>
      </c>
      <c r="G42" s="116"/>
      <c r="H42" s="44"/>
      <c r="I42" s="117"/>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15" t="s">
        <v>298</v>
      </c>
      <c r="AU42" s="515"/>
      <c r="AV42" s="515"/>
      <c r="AW42" s="515"/>
      <c r="AX42" s="515"/>
      <c r="AY42" s="515"/>
      <c r="AZ42" s="515"/>
      <c r="BA42" s="515"/>
      <c r="BB42" s="515"/>
      <c r="BC42" s="515"/>
      <c r="BD42" s="515"/>
      <c r="BE42" s="515"/>
      <c r="BF42" s="515"/>
      <c r="BG42" s="515"/>
      <c r="BH42" s="515"/>
      <c r="BI42" s="515"/>
      <c r="BJ42" s="394"/>
      <c r="BK42" s="395"/>
      <c r="BL42" s="395"/>
      <c r="BM42" s="395"/>
      <c r="BN42" s="396"/>
    </row>
    <row r="43" spans="1:71" s="95" customFormat="1" ht="21.75" customHeight="1" x14ac:dyDescent="0.2">
      <c r="A43" s="95" t="s">
        <v>2</v>
      </c>
      <c r="F43" s="514"/>
      <c r="G43" s="514"/>
      <c r="H43" s="514"/>
      <c r="I43" s="514"/>
      <c r="J43" s="514"/>
      <c r="K43" s="514"/>
      <c r="L43" s="514"/>
      <c r="M43" s="514"/>
      <c r="P43" s="11"/>
      <c r="Q43" s="11"/>
      <c r="R43" s="516" t="s">
        <v>4</v>
      </c>
      <c r="S43" s="516"/>
      <c r="T43" s="516"/>
      <c r="U43" s="516"/>
      <c r="V43" s="516"/>
      <c r="W43" s="516"/>
      <c r="X43" s="516"/>
      <c r="Y43" s="517"/>
      <c r="Z43" s="517"/>
      <c r="AA43" s="517"/>
      <c r="AB43" s="517"/>
      <c r="AC43" s="517"/>
      <c r="AD43" s="517"/>
      <c r="AE43" s="517"/>
      <c r="AF43" s="517"/>
      <c r="AG43" s="517"/>
      <c r="AH43" s="517"/>
      <c r="AI43" s="517"/>
      <c r="AL43" s="516" t="s">
        <v>300</v>
      </c>
      <c r="AM43" s="516"/>
      <c r="AN43" s="516"/>
      <c r="AO43" s="516"/>
      <c r="AP43" s="516"/>
      <c r="AQ43" s="516"/>
      <c r="AR43" s="516"/>
      <c r="AS43" s="517"/>
      <c r="AT43" s="517"/>
      <c r="AU43" s="517"/>
      <c r="AV43" s="517"/>
      <c r="AW43" s="517"/>
      <c r="AY43" s="383" t="s">
        <v>301</v>
      </c>
      <c r="AZ43" s="383"/>
      <c r="BA43" s="383"/>
      <c r="BB43" s="383"/>
      <c r="BC43" s="383"/>
      <c r="BD43" s="383"/>
      <c r="BE43" s="383"/>
      <c r="BF43" s="383"/>
      <c r="BG43" s="307"/>
      <c r="BH43" s="307"/>
      <c r="BI43" s="307"/>
      <c r="BJ43" s="307"/>
      <c r="BK43" s="307"/>
      <c r="BL43" s="307"/>
      <c r="BM43" s="307"/>
      <c r="BN43" s="307"/>
    </row>
    <row r="44" spans="1:71" ht="18" customHeight="1" x14ac:dyDescent="0.2">
      <c r="E44" s="371" t="s">
        <v>3</v>
      </c>
      <c r="F44" s="371"/>
      <c r="G44" s="371"/>
      <c r="H44" s="371"/>
      <c r="I44" s="371"/>
      <c r="J44" s="371"/>
      <c r="K44" s="371"/>
      <c r="L44" s="371"/>
      <c r="M44" s="371"/>
      <c r="R44" s="516" t="s">
        <v>7</v>
      </c>
      <c r="S44" s="516"/>
      <c r="T44" s="516"/>
      <c r="U44" s="516"/>
      <c r="V44" s="516"/>
      <c r="W44" s="516"/>
      <c r="X44" s="516"/>
      <c r="Y44" s="384"/>
      <c r="Z44" s="384"/>
      <c r="AA44" s="384"/>
      <c r="AB44" s="384"/>
      <c r="AC44" s="384"/>
      <c r="AD44" s="384"/>
      <c r="AE44" s="384"/>
      <c r="AF44" s="384"/>
      <c r="AG44" s="384"/>
      <c r="AH44" s="384"/>
      <c r="AI44" s="384"/>
      <c r="AL44" s="516" t="s">
        <v>7</v>
      </c>
      <c r="AM44" s="516"/>
      <c r="AN44" s="516"/>
      <c r="AO44" s="516"/>
      <c r="AP44" s="516"/>
      <c r="AQ44" s="516"/>
      <c r="AR44" s="516"/>
      <c r="AS44" s="384"/>
      <c r="AT44" s="384"/>
      <c r="AU44" s="384"/>
      <c r="AV44" s="384"/>
      <c r="AW44" s="384"/>
      <c r="AY44" s="94"/>
      <c r="AZ44" s="94"/>
      <c r="BA44" s="94"/>
      <c r="BB44" s="94"/>
      <c r="BC44" s="94"/>
      <c r="BD44" s="94"/>
      <c r="BE44" s="94"/>
      <c r="BF44" s="94"/>
      <c r="BG44" s="376" t="s">
        <v>6</v>
      </c>
      <c r="BH44" s="376"/>
      <c r="BI44" s="376"/>
      <c r="BJ44" s="376"/>
      <c r="BK44" s="376"/>
      <c r="BL44" s="376"/>
      <c r="BM44" s="376"/>
      <c r="BN44" s="376"/>
    </row>
    <row r="45" spans="1:71" ht="15" customHeight="1" x14ac:dyDescent="0.2">
      <c r="N45" s="53"/>
      <c r="O45" s="53"/>
      <c r="R45" s="516" t="s">
        <v>309</v>
      </c>
      <c r="S45" s="516"/>
      <c r="T45" s="516"/>
      <c r="U45" s="516"/>
      <c r="V45" s="516"/>
      <c r="W45" s="516"/>
      <c r="X45" s="516"/>
      <c r="Y45" s="364"/>
      <c r="Z45" s="364"/>
      <c r="AA45" s="364"/>
      <c r="AB45" s="364"/>
      <c r="AC45" s="364"/>
      <c r="AD45" s="364"/>
      <c r="AE45" s="364"/>
      <c r="AF45" s="364"/>
      <c r="AG45" s="364"/>
      <c r="AH45" s="364"/>
      <c r="AI45" s="364"/>
      <c r="AJ45" s="53"/>
      <c r="AK45" s="53"/>
      <c r="AL45" s="53"/>
      <c r="AM45" s="53"/>
      <c r="AN45" s="53"/>
      <c r="AO45" s="53"/>
      <c r="AP45" s="53"/>
      <c r="AQ45" s="53"/>
      <c r="AR45" s="53"/>
      <c r="AS45" s="53"/>
      <c r="AT45" s="371"/>
      <c r="AU45" s="371"/>
      <c r="AY45" s="518" t="s">
        <v>302</v>
      </c>
      <c r="AZ45" s="518"/>
      <c r="BA45" s="518"/>
      <c r="BB45" s="518"/>
      <c r="BC45" s="518"/>
      <c r="BD45" s="518"/>
      <c r="BE45" s="518"/>
      <c r="BF45" s="518"/>
      <c r="BG45" s="307"/>
      <c r="BH45" s="307"/>
      <c r="BI45" s="307"/>
      <c r="BJ45" s="307"/>
      <c r="BK45" s="307"/>
      <c r="BL45" s="307"/>
      <c r="BM45" s="307"/>
      <c r="BN45" s="307"/>
    </row>
    <row r="46" spans="1:71" ht="15.75" customHeight="1" x14ac:dyDescent="0.2">
      <c r="BG46" s="513" t="s">
        <v>303</v>
      </c>
      <c r="BH46" s="513"/>
      <c r="BI46" s="513"/>
      <c r="BJ46" s="513"/>
      <c r="BK46" s="513"/>
      <c r="BL46" s="513"/>
      <c r="BM46" s="513"/>
      <c r="BN46" s="513"/>
    </row>
  </sheetData>
  <sheetProtection password="E724" sheet="1" formatCells="0" formatColumns="0" formatRows="0" insertColumns="0" insertRows="0" insertHyperlinks="0" sort="0" autoFilter="0" pivotTables="0"/>
  <mergeCells count="294">
    <mergeCell ref="BG1:BN1"/>
    <mergeCell ref="BG2:BN2"/>
    <mergeCell ref="BG3:BN3"/>
    <mergeCell ref="BG4:BN4"/>
    <mergeCell ref="BG5:BN5"/>
    <mergeCell ref="P1:AW5"/>
    <mergeCell ref="A1:O5"/>
    <mergeCell ref="AX1:BF1"/>
    <mergeCell ref="AX2:BF2"/>
    <mergeCell ref="AX3:BF3"/>
    <mergeCell ref="AX4:BF4"/>
    <mergeCell ref="AX5:BF5"/>
    <mergeCell ref="BG44:BN44"/>
    <mergeCell ref="BG43:BN43"/>
    <mergeCell ref="BG45:BN45"/>
    <mergeCell ref="BG46:BN46"/>
    <mergeCell ref="E44:M44"/>
    <mergeCell ref="AT45:AU45"/>
    <mergeCell ref="F43:M43"/>
    <mergeCell ref="AT42:BI42"/>
    <mergeCell ref="BJ42:BN42"/>
    <mergeCell ref="R43:X43"/>
    <mergeCell ref="Y43:AI43"/>
    <mergeCell ref="Y44:AI44"/>
    <mergeCell ref="Y45:AI45"/>
    <mergeCell ref="AY43:BF43"/>
    <mergeCell ref="AY45:BF45"/>
    <mergeCell ref="AL43:AR43"/>
    <mergeCell ref="AL44:AR44"/>
    <mergeCell ref="AS43:AW43"/>
    <mergeCell ref="AS44:AW44"/>
    <mergeCell ref="R45:X45"/>
    <mergeCell ref="R44:X44"/>
    <mergeCell ref="A41:C41"/>
    <mergeCell ref="D41:Q41"/>
    <mergeCell ref="R41:T41"/>
    <mergeCell ref="U41:Z41"/>
    <mergeCell ref="AD41:AF41"/>
    <mergeCell ref="AG41:AL41"/>
    <mergeCell ref="AY41:BC41"/>
    <mergeCell ref="BD41:BE41"/>
    <mergeCell ref="BF41:BG41"/>
    <mergeCell ref="AA41:AC41"/>
    <mergeCell ref="AM41:AO41"/>
    <mergeCell ref="A40:C40"/>
    <mergeCell ref="D40:Q40"/>
    <mergeCell ref="R40:T40"/>
    <mergeCell ref="U40:Z40"/>
    <mergeCell ref="AD40:AF40"/>
    <mergeCell ref="AG40:AL40"/>
    <mergeCell ref="AY40:BC40"/>
    <mergeCell ref="BD40:BE40"/>
    <mergeCell ref="BF40:BG40"/>
    <mergeCell ref="AA40:AC40"/>
    <mergeCell ref="AM40:AO40"/>
    <mergeCell ref="AY38:BC38"/>
    <mergeCell ref="BD38:BE38"/>
    <mergeCell ref="BF38:BG38"/>
    <mergeCell ref="A39:C39"/>
    <mergeCell ref="D39:Q39"/>
    <mergeCell ref="R39:T39"/>
    <mergeCell ref="U39:Z39"/>
    <mergeCell ref="AD39:AF39"/>
    <mergeCell ref="AG39:AL39"/>
    <mergeCell ref="AY39:BC39"/>
    <mergeCell ref="A38:C38"/>
    <mergeCell ref="D38:Q38"/>
    <mergeCell ref="R38:T38"/>
    <mergeCell ref="U38:Z38"/>
    <mergeCell ref="AD38:AF38"/>
    <mergeCell ref="AG38:AL38"/>
    <mergeCell ref="BD39:BE39"/>
    <mergeCell ref="BF39:BG39"/>
    <mergeCell ref="AA38:AC38"/>
    <mergeCell ref="AA39:AC39"/>
    <mergeCell ref="AM38:AO38"/>
    <mergeCell ref="AM39:AO39"/>
    <mergeCell ref="A37:C37"/>
    <mergeCell ref="D37:Q37"/>
    <mergeCell ref="R37:T37"/>
    <mergeCell ref="U37:Z37"/>
    <mergeCell ref="AD37:AF37"/>
    <mergeCell ref="AG37:AL37"/>
    <mergeCell ref="AY37:BC37"/>
    <mergeCell ref="BD37:BE37"/>
    <mergeCell ref="BF37:BG37"/>
    <mergeCell ref="AA37:AC37"/>
    <mergeCell ref="AM37:AO37"/>
    <mergeCell ref="A36:C36"/>
    <mergeCell ref="D36:Q36"/>
    <mergeCell ref="R36:T36"/>
    <mergeCell ref="U36:Z36"/>
    <mergeCell ref="AD36:AF36"/>
    <mergeCell ref="AG36:AL36"/>
    <mergeCell ref="AY36:BC36"/>
    <mergeCell ref="BD36:BE36"/>
    <mergeCell ref="BF36:BG36"/>
    <mergeCell ref="AA36:AC36"/>
    <mergeCell ref="AM36:AO36"/>
    <mergeCell ref="AY34:BC34"/>
    <mergeCell ref="BD34:BE34"/>
    <mergeCell ref="BF34:BG34"/>
    <mergeCell ref="A35:C35"/>
    <mergeCell ref="D35:Q35"/>
    <mergeCell ref="R35:T35"/>
    <mergeCell ref="U35:Z35"/>
    <mergeCell ref="AD35:AF35"/>
    <mergeCell ref="AG35:AL35"/>
    <mergeCell ref="AY35:BC35"/>
    <mergeCell ref="A34:C34"/>
    <mergeCell ref="D34:Q34"/>
    <mergeCell ref="R34:T34"/>
    <mergeCell ref="U34:Z34"/>
    <mergeCell ref="AD34:AF34"/>
    <mergeCell ref="AG34:AL34"/>
    <mergeCell ref="BD35:BE35"/>
    <mergeCell ref="BF35:BG35"/>
    <mergeCell ref="AA34:AC34"/>
    <mergeCell ref="AA35:AC35"/>
    <mergeCell ref="AM34:AO34"/>
    <mergeCell ref="AM35:AO35"/>
    <mergeCell ref="A33:C33"/>
    <mergeCell ref="D33:Q33"/>
    <mergeCell ref="R33:T33"/>
    <mergeCell ref="U33:Z33"/>
    <mergeCell ref="AD33:AF33"/>
    <mergeCell ref="AG33:AL33"/>
    <mergeCell ref="AY33:BC33"/>
    <mergeCell ref="BD33:BE33"/>
    <mergeCell ref="BF33:BG33"/>
    <mergeCell ref="AA33:AC33"/>
    <mergeCell ref="AM33:AO33"/>
    <mergeCell ref="A32:C32"/>
    <mergeCell ref="D32:Q32"/>
    <mergeCell ref="R32:T32"/>
    <mergeCell ref="U32:Z32"/>
    <mergeCell ref="AD32:AF32"/>
    <mergeCell ref="AG32:AL32"/>
    <mergeCell ref="AY32:BC32"/>
    <mergeCell ref="BD32:BE32"/>
    <mergeCell ref="BF32:BG32"/>
    <mergeCell ref="AA32:AC32"/>
    <mergeCell ref="AM32:AO32"/>
    <mergeCell ref="AY30:BC30"/>
    <mergeCell ref="BD30:BE30"/>
    <mergeCell ref="BF30:BG30"/>
    <mergeCell ref="A31:C31"/>
    <mergeCell ref="D31:Q31"/>
    <mergeCell ref="R31:T31"/>
    <mergeCell ref="U31:Z31"/>
    <mergeCell ref="AD31:AF31"/>
    <mergeCell ref="AG31:AL31"/>
    <mergeCell ref="AY31:BC31"/>
    <mergeCell ref="A30:C30"/>
    <mergeCell ref="D30:Q30"/>
    <mergeCell ref="R30:T30"/>
    <mergeCell ref="U30:Z30"/>
    <mergeCell ref="AD30:AF30"/>
    <mergeCell ref="AG30:AL30"/>
    <mergeCell ref="BD31:BE31"/>
    <mergeCell ref="BF31:BG31"/>
    <mergeCell ref="AA30:AC30"/>
    <mergeCell ref="AA31:AC31"/>
    <mergeCell ref="AM30:AO30"/>
    <mergeCell ref="AM31:AO31"/>
    <mergeCell ref="A29:C29"/>
    <mergeCell ref="D29:Q29"/>
    <mergeCell ref="R29:T29"/>
    <mergeCell ref="U29:Z29"/>
    <mergeCell ref="AD29:AF29"/>
    <mergeCell ref="AG29:AL29"/>
    <mergeCell ref="AY29:BC29"/>
    <mergeCell ref="BD29:BE29"/>
    <mergeCell ref="BF29:BG29"/>
    <mergeCell ref="AA29:AC29"/>
    <mergeCell ref="AM29:AO29"/>
    <mergeCell ref="A28:C28"/>
    <mergeCell ref="D28:Q28"/>
    <mergeCell ref="R28:T28"/>
    <mergeCell ref="U28:Z28"/>
    <mergeCell ref="AD28:AF28"/>
    <mergeCell ref="AG28:AL28"/>
    <mergeCell ref="AY28:BC28"/>
    <mergeCell ref="BD28:BE28"/>
    <mergeCell ref="BF28:BG28"/>
    <mergeCell ref="AA28:AC28"/>
    <mergeCell ref="AM28:AO28"/>
    <mergeCell ref="AY26:BC26"/>
    <mergeCell ref="BD26:BE26"/>
    <mergeCell ref="BF26:BG26"/>
    <mergeCell ref="A27:C27"/>
    <mergeCell ref="D27:Q27"/>
    <mergeCell ref="R27:T27"/>
    <mergeCell ref="U27:Z27"/>
    <mergeCell ref="AD27:AF27"/>
    <mergeCell ref="AG27:AL27"/>
    <mergeCell ref="AY27:BC27"/>
    <mergeCell ref="A26:C26"/>
    <mergeCell ref="D26:Q26"/>
    <mergeCell ref="R26:T26"/>
    <mergeCell ref="U26:Z26"/>
    <mergeCell ref="AD26:AF26"/>
    <mergeCell ref="AG26:AL26"/>
    <mergeCell ref="BD27:BE27"/>
    <mergeCell ref="BF27:BG27"/>
    <mergeCell ref="AA26:AC26"/>
    <mergeCell ref="AA27:AC27"/>
    <mergeCell ref="AM26:AO26"/>
    <mergeCell ref="AM27:AO27"/>
    <mergeCell ref="A25:C25"/>
    <mergeCell ref="D25:Q25"/>
    <mergeCell ref="R25:T25"/>
    <mergeCell ref="U25:Z25"/>
    <mergeCell ref="AD25:AF25"/>
    <mergeCell ref="AG25:AL25"/>
    <mergeCell ref="AY25:BC25"/>
    <mergeCell ref="BD25:BE25"/>
    <mergeCell ref="BF25:BG25"/>
    <mergeCell ref="AA25:AC25"/>
    <mergeCell ref="AM25:AO25"/>
    <mergeCell ref="A24:C24"/>
    <mergeCell ref="D24:Q24"/>
    <mergeCell ref="R24:T24"/>
    <mergeCell ref="U24:Z24"/>
    <mergeCell ref="AD24:AF24"/>
    <mergeCell ref="AG24:AL24"/>
    <mergeCell ref="AY24:BC24"/>
    <mergeCell ref="BD24:BE24"/>
    <mergeCell ref="BF24:BG24"/>
    <mergeCell ref="AA24:AC24"/>
    <mergeCell ref="AM24:AO24"/>
    <mergeCell ref="BD22:BE22"/>
    <mergeCell ref="BF22:BG22"/>
    <mergeCell ref="AA22:AC22"/>
    <mergeCell ref="AM22:AO22"/>
    <mergeCell ref="A23:C23"/>
    <mergeCell ref="D23:Q23"/>
    <mergeCell ref="R23:T23"/>
    <mergeCell ref="U23:Z23"/>
    <mergeCell ref="AD23:AF23"/>
    <mergeCell ref="AG23:AL23"/>
    <mergeCell ref="AY23:BC23"/>
    <mergeCell ref="BD23:BE23"/>
    <mergeCell ref="BF23:BG23"/>
    <mergeCell ref="AA23:AC23"/>
    <mergeCell ref="AM23:AO23"/>
    <mergeCell ref="AS19:AS21"/>
    <mergeCell ref="AT19:AV20"/>
    <mergeCell ref="AW19:AW21"/>
    <mergeCell ref="AX19:AX21"/>
    <mergeCell ref="AY19:BC21"/>
    <mergeCell ref="AK21:AL21"/>
    <mergeCell ref="AP21:AR21"/>
    <mergeCell ref="AT21:AV21"/>
    <mergeCell ref="A22:C22"/>
    <mergeCell ref="D22:Q22"/>
    <mergeCell ref="R22:T22"/>
    <mergeCell ref="U22:Z22"/>
    <mergeCell ref="AD22:AF22"/>
    <mergeCell ref="AG22:AL22"/>
    <mergeCell ref="AY22:BC22"/>
    <mergeCell ref="A12:V13"/>
    <mergeCell ref="AL12:AV12"/>
    <mergeCell ref="AL13:AV17"/>
    <mergeCell ref="A14:V17"/>
    <mergeCell ref="A19:C21"/>
    <mergeCell ref="D19:Q21"/>
    <mergeCell ref="R19:T21"/>
    <mergeCell ref="U19:Z19"/>
    <mergeCell ref="AD19:AF21"/>
    <mergeCell ref="AG19:AL19"/>
    <mergeCell ref="AA19:AC21"/>
    <mergeCell ref="AM19:AO21"/>
    <mergeCell ref="A18:BN18"/>
    <mergeCell ref="BD19:BE21"/>
    <mergeCell ref="BF19:BG21"/>
    <mergeCell ref="BH19:BN20"/>
    <mergeCell ref="U20:Z20"/>
    <mergeCell ref="AG20:AL20"/>
    <mergeCell ref="U21:V21"/>
    <mergeCell ref="W21:X21"/>
    <mergeCell ref="Y21:Z21"/>
    <mergeCell ref="AG21:AH21"/>
    <mergeCell ref="AI21:AJ21"/>
    <mergeCell ref="AP19:AR20"/>
    <mergeCell ref="AP7:AT7"/>
    <mergeCell ref="A11:V11"/>
    <mergeCell ref="AL11:AV11"/>
    <mergeCell ref="A6:O6"/>
    <mergeCell ref="P6:AI6"/>
    <mergeCell ref="AJ6:AW6"/>
    <mergeCell ref="AU7:AX7"/>
    <mergeCell ref="AY7:BN7"/>
    <mergeCell ref="A9:BN9"/>
  </mergeCells>
  <conditionalFormatting sqref="AG22:AM22 AM23:AM25 AG30:AM41">
    <cfRule type="expression" dxfId="7" priority="8">
      <formula>$BS22=7</formula>
    </cfRule>
  </conditionalFormatting>
  <conditionalFormatting sqref="AG23:AL23">
    <cfRule type="expression" dxfId="6" priority="7">
      <formula>$BS23=7</formula>
    </cfRule>
  </conditionalFormatting>
  <conditionalFormatting sqref="AG24:AL24">
    <cfRule type="expression" dxfId="5" priority="6">
      <formula>$BS24=7</formula>
    </cfRule>
  </conditionalFormatting>
  <conditionalFormatting sqref="AG25:AL25">
    <cfRule type="expression" dxfId="4" priority="5">
      <formula>$BS25=7</formula>
    </cfRule>
  </conditionalFormatting>
  <conditionalFormatting sqref="AG26:AM26 AM27:AM29">
    <cfRule type="expression" dxfId="3" priority="4">
      <formula>$BS26=7</formula>
    </cfRule>
  </conditionalFormatting>
  <conditionalFormatting sqref="AG27:AL27">
    <cfRule type="expression" dxfId="2" priority="3">
      <formula>$BS27=7</formula>
    </cfRule>
  </conditionalFormatting>
  <conditionalFormatting sqref="AG28:AL28">
    <cfRule type="expression" dxfId="1" priority="2">
      <formula>$BS28=7</formula>
    </cfRule>
  </conditionalFormatting>
  <conditionalFormatting sqref="AG29:AL29">
    <cfRule type="expression" dxfId="0" priority="1">
      <formula>$BS29=7</formula>
    </cfRule>
  </conditionalFormatting>
  <printOptions horizontalCentered="1"/>
  <pageMargins left="0.19685039370078741" right="0.19685039370078741" top="0.19685039370078741" bottom="0.19685039370078741" header="0.19685039370078741" footer="0.19685039370078741"/>
  <pageSetup scale="59" fitToHeight="0" orientation="landscape" blackAndWhite="1" r:id="rId1"/>
  <headerFooter alignWithMargins="0">
    <oddFooter>&amp;C&amp;"Arial,Negrita"&amp;12CONTROLADO&amp;R&amp;8&amp;P de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A1915-A5A0-48FD-AA57-DEC88AA821BA}">
  <sheetPr codeName="Hoja5">
    <pageSetUpPr fitToPage="1"/>
  </sheetPr>
  <dimension ref="A1:BX44"/>
  <sheetViews>
    <sheetView showGridLines="0" view="pageBreakPreview" topLeftCell="A10" zoomScaleNormal="100" workbookViewId="0">
      <selection activeCell="AE32" sqref="AE32:BK33"/>
    </sheetView>
  </sheetViews>
  <sheetFormatPr baseColWidth="10" defaultColWidth="2.7109375" defaultRowHeight="12.95" customHeight="1" x14ac:dyDescent="0.2"/>
  <cols>
    <col min="1" max="2" width="3" style="65" customWidth="1"/>
    <col min="3" max="6" width="2.7109375" style="65" customWidth="1"/>
    <col min="7" max="7" width="4.28515625" style="65" customWidth="1"/>
    <col min="8" max="8" width="3" style="65" customWidth="1"/>
    <col min="9" max="9" width="2.42578125" style="65" customWidth="1"/>
    <col min="10" max="10" width="9.28515625" style="65" customWidth="1"/>
    <col min="11" max="16" width="2.85546875" style="65" customWidth="1"/>
    <col min="17" max="20" width="3.42578125" style="65" customWidth="1"/>
    <col min="21" max="26" width="2.85546875" style="65" customWidth="1"/>
    <col min="27" max="30" width="3.42578125" style="65" customWidth="1"/>
    <col min="31" max="36" width="3.7109375" style="65" customWidth="1"/>
    <col min="37" max="38" width="3.42578125" style="65" customWidth="1"/>
    <col min="39" max="45" width="2.42578125" style="65" customWidth="1"/>
    <col min="46" max="46" width="3.5703125" style="65" customWidth="1"/>
    <col min="47" max="51" width="2.42578125" style="65" customWidth="1"/>
    <col min="52" max="52" width="3.42578125" style="65" customWidth="1"/>
    <col min="53" max="57" width="3.85546875" style="65" customWidth="1"/>
    <col min="58" max="58" width="2.28515625" style="65" customWidth="1"/>
    <col min="59" max="60" width="2.7109375" style="65" customWidth="1"/>
    <col min="61" max="62" width="3.42578125" style="65" customWidth="1"/>
    <col min="63" max="63" width="13.85546875" style="65" customWidth="1"/>
    <col min="64" max="16384" width="2.7109375" style="65"/>
  </cols>
  <sheetData>
    <row r="1" spans="1:76" ht="15.75" customHeight="1" x14ac:dyDescent="0.2">
      <c r="A1" s="478"/>
      <c r="B1" s="478"/>
      <c r="C1" s="478"/>
      <c r="D1" s="478"/>
      <c r="E1" s="478"/>
      <c r="F1" s="478"/>
      <c r="G1" s="478"/>
      <c r="H1" s="478"/>
      <c r="I1" s="478"/>
      <c r="J1" s="478"/>
      <c r="K1" s="478"/>
      <c r="L1" s="478"/>
      <c r="M1" s="478"/>
      <c r="N1" s="478"/>
      <c r="O1" s="546" t="s">
        <v>330</v>
      </c>
      <c r="P1" s="546"/>
      <c r="Q1" s="546"/>
      <c r="R1" s="546"/>
      <c r="S1" s="546"/>
      <c r="T1" s="546"/>
      <c r="U1" s="546"/>
      <c r="V1" s="546"/>
      <c r="W1" s="546"/>
      <c r="X1" s="546"/>
      <c r="Y1" s="546"/>
      <c r="Z1" s="546"/>
      <c r="AA1" s="546"/>
      <c r="AB1" s="546"/>
      <c r="AC1" s="546"/>
      <c r="AD1" s="546"/>
      <c r="AE1" s="546"/>
      <c r="AF1" s="546"/>
      <c r="AG1" s="546"/>
      <c r="AH1" s="546"/>
      <c r="AI1" s="546"/>
      <c r="AJ1" s="546"/>
      <c r="AK1" s="546"/>
      <c r="AL1" s="546"/>
      <c r="AM1" s="546"/>
      <c r="AN1" s="546"/>
      <c r="AO1" s="546"/>
      <c r="AP1" s="546"/>
      <c r="AQ1" s="546"/>
      <c r="AR1" s="546"/>
      <c r="AS1" s="546"/>
      <c r="AT1" s="546"/>
      <c r="AU1" s="546"/>
      <c r="AV1" s="546"/>
      <c r="AW1" s="546"/>
      <c r="AX1" s="546"/>
      <c r="AY1" s="546"/>
      <c r="AZ1" s="546"/>
      <c r="BA1" s="388" t="s">
        <v>199</v>
      </c>
      <c r="BB1" s="388"/>
      <c r="BC1" s="388"/>
      <c r="BD1" s="388"/>
      <c r="BE1" s="388"/>
      <c r="BF1" s="538"/>
      <c r="BG1" s="539"/>
      <c r="BH1" s="539"/>
      <c r="BI1" s="539"/>
      <c r="BJ1" s="539"/>
      <c r="BK1" s="539"/>
      <c r="BL1" s="64"/>
    </row>
    <row r="2" spans="1:76" ht="15.75" customHeight="1" x14ac:dyDescent="0.2">
      <c r="A2" s="478"/>
      <c r="B2" s="478"/>
      <c r="C2" s="478"/>
      <c r="D2" s="478"/>
      <c r="E2" s="478"/>
      <c r="F2" s="478"/>
      <c r="G2" s="478"/>
      <c r="H2" s="478"/>
      <c r="I2" s="478"/>
      <c r="J2" s="478"/>
      <c r="K2" s="478"/>
      <c r="L2" s="478"/>
      <c r="M2" s="478"/>
      <c r="N2" s="478"/>
      <c r="O2" s="546"/>
      <c r="P2" s="546"/>
      <c r="Q2" s="546"/>
      <c r="R2" s="546"/>
      <c r="S2" s="546"/>
      <c r="T2" s="546"/>
      <c r="U2" s="546"/>
      <c r="V2" s="546"/>
      <c r="W2" s="546"/>
      <c r="X2" s="546"/>
      <c r="Y2" s="546"/>
      <c r="Z2" s="546"/>
      <c r="AA2" s="546"/>
      <c r="AB2" s="546"/>
      <c r="AC2" s="546"/>
      <c r="AD2" s="546"/>
      <c r="AE2" s="546"/>
      <c r="AF2" s="546"/>
      <c r="AG2" s="546"/>
      <c r="AH2" s="546"/>
      <c r="AI2" s="546"/>
      <c r="AJ2" s="546"/>
      <c r="AK2" s="546"/>
      <c r="AL2" s="546"/>
      <c r="AM2" s="546"/>
      <c r="AN2" s="546"/>
      <c r="AO2" s="546"/>
      <c r="AP2" s="546"/>
      <c r="AQ2" s="546"/>
      <c r="AR2" s="546"/>
      <c r="AS2" s="546"/>
      <c r="AT2" s="546"/>
      <c r="AU2" s="546"/>
      <c r="AV2" s="546"/>
      <c r="AW2" s="546"/>
      <c r="AX2" s="546"/>
      <c r="AY2" s="546"/>
      <c r="AZ2" s="546"/>
      <c r="BA2" s="388" t="s">
        <v>299</v>
      </c>
      <c r="BB2" s="388"/>
      <c r="BC2" s="388"/>
      <c r="BD2" s="388"/>
      <c r="BE2" s="388"/>
      <c r="BF2" s="540"/>
      <c r="BG2" s="541"/>
      <c r="BH2" s="541"/>
      <c r="BI2" s="541"/>
      <c r="BJ2" s="541"/>
      <c r="BK2" s="541"/>
      <c r="BL2" s="66"/>
    </row>
    <row r="3" spans="1:76" ht="15.75" customHeight="1" x14ac:dyDescent="0.2">
      <c r="A3" s="478"/>
      <c r="B3" s="478"/>
      <c r="C3" s="478"/>
      <c r="D3" s="478"/>
      <c r="E3" s="478"/>
      <c r="F3" s="478"/>
      <c r="G3" s="478"/>
      <c r="H3" s="478"/>
      <c r="I3" s="478"/>
      <c r="J3" s="478"/>
      <c r="K3" s="478"/>
      <c r="L3" s="478"/>
      <c r="M3" s="478"/>
      <c r="N3" s="478"/>
      <c r="O3" s="546"/>
      <c r="P3" s="546"/>
      <c r="Q3" s="546"/>
      <c r="R3" s="546"/>
      <c r="S3" s="546"/>
      <c r="T3" s="546"/>
      <c r="U3" s="546"/>
      <c r="V3" s="546"/>
      <c r="W3" s="546"/>
      <c r="X3" s="546"/>
      <c r="Y3" s="546"/>
      <c r="Z3" s="546"/>
      <c r="AA3" s="546"/>
      <c r="AB3" s="546"/>
      <c r="AC3" s="546"/>
      <c r="AD3" s="546"/>
      <c r="AE3" s="546"/>
      <c r="AF3" s="546"/>
      <c r="AG3" s="546"/>
      <c r="AH3" s="546"/>
      <c r="AI3" s="546"/>
      <c r="AJ3" s="546"/>
      <c r="AK3" s="546"/>
      <c r="AL3" s="546"/>
      <c r="AM3" s="546"/>
      <c r="AN3" s="546"/>
      <c r="AO3" s="546"/>
      <c r="AP3" s="546"/>
      <c r="AQ3" s="546"/>
      <c r="AR3" s="546"/>
      <c r="AS3" s="546"/>
      <c r="AT3" s="546"/>
      <c r="AU3" s="546"/>
      <c r="AV3" s="546"/>
      <c r="AW3" s="546"/>
      <c r="AX3" s="546"/>
      <c r="AY3" s="546"/>
      <c r="AZ3" s="546"/>
      <c r="BA3" s="388" t="s">
        <v>203</v>
      </c>
      <c r="BB3" s="388"/>
      <c r="BC3" s="388"/>
      <c r="BD3" s="388"/>
      <c r="BE3" s="388"/>
      <c r="BF3" s="538"/>
      <c r="BG3" s="539"/>
      <c r="BH3" s="539"/>
      <c r="BI3" s="539"/>
      <c r="BJ3" s="539"/>
      <c r="BK3" s="539"/>
      <c r="BL3" s="66"/>
    </row>
    <row r="4" spans="1:76" ht="15.75" customHeight="1" x14ac:dyDescent="0.2">
      <c r="A4" s="478"/>
      <c r="B4" s="478"/>
      <c r="C4" s="478"/>
      <c r="D4" s="478"/>
      <c r="E4" s="478"/>
      <c r="F4" s="478"/>
      <c r="G4" s="478"/>
      <c r="H4" s="478"/>
      <c r="I4" s="478"/>
      <c r="J4" s="478"/>
      <c r="K4" s="478"/>
      <c r="L4" s="478"/>
      <c r="M4" s="478"/>
      <c r="N4" s="478"/>
      <c r="O4" s="546"/>
      <c r="P4" s="546"/>
      <c r="Q4" s="546"/>
      <c r="R4" s="546"/>
      <c r="S4" s="546"/>
      <c r="T4" s="546"/>
      <c r="U4" s="546"/>
      <c r="V4" s="546"/>
      <c r="W4" s="546"/>
      <c r="X4" s="546"/>
      <c r="Y4" s="546"/>
      <c r="Z4" s="546"/>
      <c r="AA4" s="546"/>
      <c r="AB4" s="546"/>
      <c r="AC4" s="546"/>
      <c r="AD4" s="546"/>
      <c r="AE4" s="546"/>
      <c r="AF4" s="546"/>
      <c r="AG4" s="546"/>
      <c r="AH4" s="546"/>
      <c r="AI4" s="546"/>
      <c r="AJ4" s="546"/>
      <c r="AK4" s="546"/>
      <c r="AL4" s="546"/>
      <c r="AM4" s="546"/>
      <c r="AN4" s="546"/>
      <c r="AO4" s="546"/>
      <c r="AP4" s="546"/>
      <c r="AQ4" s="546"/>
      <c r="AR4" s="546"/>
      <c r="AS4" s="546"/>
      <c r="AT4" s="546"/>
      <c r="AU4" s="546"/>
      <c r="AV4" s="546"/>
      <c r="AW4" s="546"/>
      <c r="AX4" s="546"/>
      <c r="AY4" s="546"/>
      <c r="AZ4" s="546"/>
      <c r="BA4" s="388" t="s">
        <v>200</v>
      </c>
      <c r="BB4" s="388"/>
      <c r="BC4" s="388"/>
      <c r="BD4" s="388"/>
      <c r="BE4" s="388"/>
      <c r="BF4" s="538"/>
      <c r="BG4" s="539"/>
      <c r="BH4" s="539"/>
      <c r="BI4" s="539"/>
      <c r="BJ4" s="539"/>
      <c r="BK4" s="539"/>
      <c r="BL4" s="67"/>
    </row>
    <row r="5" spans="1:76" ht="15.75" customHeight="1" x14ac:dyDescent="0.2">
      <c r="A5" s="478"/>
      <c r="B5" s="478"/>
      <c r="C5" s="478"/>
      <c r="D5" s="478"/>
      <c r="E5" s="478"/>
      <c r="F5" s="478"/>
      <c r="G5" s="478"/>
      <c r="H5" s="478"/>
      <c r="I5" s="478"/>
      <c r="J5" s="478"/>
      <c r="K5" s="478"/>
      <c r="L5" s="478"/>
      <c r="M5" s="478"/>
      <c r="N5" s="478"/>
      <c r="O5" s="546"/>
      <c r="P5" s="546"/>
      <c r="Q5" s="546"/>
      <c r="R5" s="546"/>
      <c r="S5" s="546"/>
      <c r="T5" s="546"/>
      <c r="U5" s="546"/>
      <c r="V5" s="546"/>
      <c r="W5" s="546"/>
      <c r="X5" s="546"/>
      <c r="Y5" s="546"/>
      <c r="Z5" s="546"/>
      <c r="AA5" s="546"/>
      <c r="AB5" s="546"/>
      <c r="AC5" s="546"/>
      <c r="AD5" s="546"/>
      <c r="AE5" s="546"/>
      <c r="AF5" s="546"/>
      <c r="AG5" s="546"/>
      <c r="AH5" s="546"/>
      <c r="AI5" s="546"/>
      <c r="AJ5" s="546"/>
      <c r="AK5" s="546"/>
      <c r="AL5" s="546"/>
      <c r="AM5" s="546"/>
      <c r="AN5" s="546"/>
      <c r="AO5" s="546"/>
      <c r="AP5" s="546"/>
      <c r="AQ5" s="546"/>
      <c r="AR5" s="546"/>
      <c r="AS5" s="546"/>
      <c r="AT5" s="546"/>
      <c r="AU5" s="546"/>
      <c r="AV5" s="546"/>
      <c r="AW5" s="546"/>
      <c r="AX5" s="546"/>
      <c r="AY5" s="546"/>
      <c r="AZ5" s="546"/>
      <c r="BA5" s="388" t="s">
        <v>202</v>
      </c>
      <c r="BB5" s="388"/>
      <c r="BC5" s="388"/>
      <c r="BD5" s="388"/>
      <c r="BE5" s="388"/>
      <c r="BF5" s="538"/>
      <c r="BG5" s="539"/>
      <c r="BH5" s="539"/>
      <c r="BI5" s="539"/>
      <c r="BJ5" s="539"/>
      <c r="BK5" s="539"/>
    </row>
    <row r="6" spans="1:76" ht="15.75" customHeight="1" x14ac:dyDescent="0.2">
      <c r="A6" s="308" t="s">
        <v>310</v>
      </c>
      <c r="B6" s="309"/>
      <c r="C6" s="309"/>
      <c r="D6" s="309"/>
      <c r="E6" s="309"/>
      <c r="F6" s="309"/>
      <c r="G6" s="309"/>
      <c r="H6" s="309"/>
      <c r="I6" s="309"/>
      <c r="J6" s="309"/>
      <c r="K6" s="309"/>
      <c r="L6" s="309"/>
      <c r="M6" s="309"/>
      <c r="N6" s="310"/>
      <c r="O6" s="543" t="s">
        <v>721</v>
      </c>
      <c r="P6" s="544"/>
      <c r="Q6" s="544"/>
      <c r="R6" s="544"/>
      <c r="S6" s="544"/>
      <c r="T6" s="544"/>
      <c r="U6" s="544"/>
      <c r="V6" s="544"/>
      <c r="W6" s="544"/>
      <c r="X6" s="544"/>
      <c r="Y6" s="544"/>
      <c r="Z6" s="544"/>
      <c r="AA6" s="545"/>
      <c r="AB6" s="542" t="s">
        <v>718</v>
      </c>
      <c r="AC6" s="542"/>
      <c r="AD6" s="542"/>
      <c r="AE6" s="542"/>
      <c r="AF6" s="542"/>
      <c r="AG6" s="542"/>
      <c r="AH6" s="542"/>
      <c r="AI6" s="542"/>
      <c r="AJ6" s="542"/>
      <c r="AK6" s="542"/>
      <c r="AL6" s="542"/>
      <c r="AM6" s="542"/>
      <c r="AN6" s="542"/>
      <c r="AO6" s="542"/>
      <c r="AP6" s="542"/>
      <c r="AQ6" s="542"/>
      <c r="AR6" s="542"/>
      <c r="AS6" s="542"/>
      <c r="AT6" s="542"/>
      <c r="AU6" s="542"/>
      <c r="AV6" s="542"/>
      <c r="AW6" s="542"/>
      <c r="AX6" s="542"/>
      <c r="AY6" s="542"/>
      <c r="AZ6" s="542"/>
      <c r="BA6" s="93"/>
      <c r="BB6" s="93"/>
      <c r="BC6" s="93"/>
      <c r="BD6" s="93"/>
      <c r="BE6" s="93"/>
      <c r="BF6" s="93"/>
      <c r="BG6" s="93"/>
      <c r="BH6" s="93"/>
      <c r="BI6" s="93"/>
      <c r="BJ6" s="93"/>
      <c r="BK6" s="93"/>
    </row>
    <row r="7" spans="1:76" ht="33.75" customHeight="1" x14ac:dyDescent="0.2">
      <c r="A7" s="68" t="s">
        <v>205</v>
      </c>
      <c r="B7" s="69"/>
      <c r="C7" s="69"/>
      <c r="D7" s="69"/>
      <c r="E7" s="69"/>
      <c r="F7" s="153"/>
      <c r="G7" s="153"/>
      <c r="H7" s="153"/>
      <c r="I7" s="153"/>
      <c r="J7" s="153"/>
      <c r="K7" s="153"/>
      <c r="L7" s="153"/>
      <c r="M7" s="153"/>
      <c r="N7" s="153"/>
      <c r="O7" s="153"/>
      <c r="P7" s="153"/>
      <c r="Q7" s="153"/>
      <c r="R7" s="153"/>
      <c r="S7" s="153"/>
      <c r="T7" s="153"/>
      <c r="U7" s="153"/>
      <c r="V7" s="153"/>
      <c r="W7" s="153"/>
      <c r="X7" s="153"/>
      <c r="Y7" s="153"/>
      <c r="Z7" s="153"/>
      <c r="AA7" s="153"/>
      <c r="AB7" s="153"/>
      <c r="AC7" s="153"/>
      <c r="AD7" s="153"/>
      <c r="AE7" s="153"/>
      <c r="AF7" s="153"/>
      <c r="AG7" s="153"/>
      <c r="AH7" s="153"/>
      <c r="AI7" s="153"/>
      <c r="AJ7" s="153"/>
      <c r="AK7" s="535" t="s">
        <v>207</v>
      </c>
      <c r="AL7" s="535"/>
      <c r="AM7" s="535"/>
      <c r="AN7" s="535"/>
      <c r="AO7" s="535"/>
      <c r="AP7" s="535"/>
      <c r="AQ7" s="535"/>
      <c r="AR7" s="535"/>
      <c r="AS7" s="535"/>
      <c r="AT7" s="535"/>
      <c r="AU7" s="535"/>
      <c r="AV7" s="520" t="s">
        <v>724</v>
      </c>
      <c r="AW7" s="521"/>
      <c r="AX7" s="521"/>
      <c r="AY7" s="521"/>
      <c r="AZ7" s="521"/>
      <c r="BA7" s="521"/>
      <c r="BB7" s="521"/>
      <c r="BC7" s="521"/>
      <c r="BD7" s="522"/>
      <c r="BE7" s="151" t="s">
        <v>724</v>
      </c>
      <c r="BF7" s="154"/>
      <c r="BG7" s="154"/>
      <c r="BH7" s="154"/>
      <c r="BI7" s="154"/>
      <c r="BJ7" s="154"/>
      <c r="BK7" s="154"/>
      <c r="BS7" s="528"/>
      <c r="BT7" s="528"/>
      <c r="BU7" s="528"/>
      <c r="BV7" s="528"/>
      <c r="BW7" s="528"/>
      <c r="BX7" s="528"/>
    </row>
    <row r="8" spans="1:76" ht="19.5" customHeight="1" x14ac:dyDescent="0.2">
      <c r="A8" s="122" t="s">
        <v>347</v>
      </c>
      <c r="B8" s="72"/>
      <c r="C8" s="72"/>
      <c r="D8" s="72"/>
      <c r="E8" s="72"/>
      <c r="F8" s="72"/>
      <c r="G8" s="72"/>
      <c r="H8" s="72"/>
      <c r="I8" s="72"/>
      <c r="J8" s="72"/>
      <c r="K8" s="72"/>
      <c r="L8" s="72"/>
      <c r="M8" s="72"/>
      <c r="N8" s="72"/>
      <c r="O8" s="72"/>
      <c r="P8" s="72"/>
      <c r="Q8" s="72"/>
      <c r="R8" s="72"/>
      <c r="S8" s="72"/>
      <c r="T8" s="72"/>
      <c r="U8" s="72"/>
      <c r="V8" s="72"/>
      <c r="W8" s="72"/>
      <c r="X8" s="72"/>
      <c r="Y8" s="72"/>
      <c r="Z8" s="72"/>
      <c r="AA8" s="73"/>
      <c r="AB8" s="73"/>
      <c r="AC8" s="73"/>
      <c r="AD8" s="73"/>
      <c r="AE8" s="73"/>
      <c r="AF8" s="73"/>
      <c r="AG8" s="123"/>
      <c r="AI8" s="123"/>
      <c r="AJ8" s="123"/>
      <c r="AK8" s="73" t="s">
        <v>311</v>
      </c>
      <c r="AL8" s="124"/>
      <c r="AM8" s="124"/>
      <c r="AN8" s="124"/>
      <c r="AO8" s="124"/>
      <c r="AP8" s="124"/>
      <c r="AQ8" s="123"/>
      <c r="AR8" s="123"/>
      <c r="AS8" s="123"/>
      <c r="AT8" s="124"/>
      <c r="AU8" s="123"/>
      <c r="AV8" s="72"/>
      <c r="AW8" s="72"/>
      <c r="AX8" s="73"/>
      <c r="AY8" s="73"/>
      <c r="AZ8" s="73"/>
      <c r="BA8" s="73"/>
      <c r="BB8" s="73"/>
      <c r="BC8" s="73"/>
      <c r="BD8" s="73"/>
      <c r="BE8" s="73"/>
      <c r="BF8" s="73"/>
      <c r="BG8" s="74"/>
      <c r="BH8" s="74"/>
      <c r="BI8" s="74"/>
      <c r="BJ8" s="74"/>
      <c r="BK8" s="74"/>
    </row>
    <row r="9" spans="1:76" ht="19.5" customHeight="1" x14ac:dyDescent="0.2">
      <c r="A9" s="122" t="s">
        <v>348</v>
      </c>
      <c r="B9" s="72"/>
      <c r="C9" s="72"/>
      <c r="D9" s="72"/>
      <c r="E9" s="72"/>
      <c r="F9" s="72"/>
      <c r="G9" s="72"/>
      <c r="H9" s="72"/>
      <c r="I9" s="72"/>
      <c r="J9" s="72"/>
      <c r="K9" s="72"/>
      <c r="L9" s="72"/>
      <c r="M9" s="72"/>
      <c r="N9" s="72"/>
      <c r="O9" s="72"/>
      <c r="P9" s="72"/>
      <c r="Q9" s="72"/>
      <c r="R9" s="72"/>
      <c r="S9" s="72"/>
      <c r="T9" s="72"/>
      <c r="U9" s="72"/>
      <c r="V9" s="72"/>
      <c r="W9" s="72"/>
      <c r="X9" s="72"/>
      <c r="Y9" s="72"/>
      <c r="Z9" s="72"/>
      <c r="AA9" s="73"/>
      <c r="AB9" s="73"/>
      <c r="AC9" s="73"/>
      <c r="AD9" s="73"/>
      <c r="AE9" s="73"/>
      <c r="AF9" s="73"/>
      <c r="AG9" s="73"/>
      <c r="AH9" s="72"/>
      <c r="AI9" s="73"/>
      <c r="AJ9" s="73"/>
      <c r="AK9" s="73"/>
      <c r="AL9" s="72"/>
      <c r="AM9" s="72"/>
      <c r="AN9" s="72"/>
      <c r="AO9" s="72"/>
      <c r="AP9" s="72"/>
      <c r="AQ9" s="73"/>
      <c r="AR9" s="73"/>
      <c r="AS9" s="73"/>
      <c r="AT9" s="72"/>
      <c r="AU9" s="73"/>
      <c r="AV9" s="69"/>
      <c r="AW9" s="69"/>
      <c r="AX9" s="70"/>
      <c r="AY9" s="73"/>
      <c r="AZ9" s="73"/>
      <c r="BA9" s="73"/>
      <c r="BB9" s="73"/>
      <c r="BC9" s="73"/>
      <c r="BD9" s="73"/>
      <c r="BE9" s="73"/>
      <c r="BF9" s="73"/>
      <c r="BG9" s="74"/>
      <c r="BH9" s="74"/>
      <c r="BI9" s="74"/>
      <c r="BJ9" s="74"/>
      <c r="BK9" s="74"/>
    </row>
    <row r="10" spans="1:76" ht="19.5" customHeight="1" x14ac:dyDescent="0.2">
      <c r="A10" s="75" t="s">
        <v>312</v>
      </c>
      <c r="B10" s="72"/>
      <c r="C10" s="72"/>
      <c r="D10" s="72"/>
      <c r="E10" s="72"/>
      <c r="F10" s="72"/>
      <c r="G10" s="72"/>
      <c r="H10" s="72"/>
      <c r="I10" s="72"/>
      <c r="J10" s="72"/>
      <c r="K10" s="72"/>
      <c r="L10" s="72"/>
      <c r="M10" s="72"/>
      <c r="N10" s="72"/>
      <c r="O10" s="72"/>
      <c r="P10" s="72"/>
      <c r="Q10" s="72"/>
      <c r="R10" s="72"/>
      <c r="S10" s="72"/>
      <c r="T10" s="72"/>
      <c r="U10" s="72"/>
      <c r="V10" s="72"/>
      <c r="W10" s="72"/>
      <c r="X10" s="72"/>
      <c r="Y10" s="72"/>
      <c r="Z10" s="72"/>
      <c r="AA10" s="73"/>
      <c r="AB10" s="73"/>
      <c r="AC10" s="73"/>
      <c r="AD10" s="73"/>
      <c r="AE10" s="73"/>
      <c r="AF10" s="73"/>
      <c r="AG10" s="76"/>
      <c r="AH10" s="70"/>
      <c r="AI10" s="73"/>
      <c r="AJ10" s="73"/>
      <c r="AK10" s="73"/>
      <c r="AL10" s="72"/>
      <c r="AM10" s="72"/>
      <c r="AN10" s="72"/>
      <c r="AO10" s="72"/>
      <c r="AP10" s="72"/>
      <c r="AQ10" s="73"/>
      <c r="AR10" s="73"/>
      <c r="AS10" s="73"/>
      <c r="AT10" s="72"/>
      <c r="AU10" s="73"/>
      <c r="AV10" s="72"/>
      <c r="AW10" s="69"/>
      <c r="AX10" s="70"/>
      <c r="AY10" s="73"/>
      <c r="AZ10" s="73"/>
      <c r="BA10" s="73"/>
      <c r="BB10" s="73"/>
      <c r="BC10" s="73"/>
      <c r="BD10" s="73"/>
      <c r="BE10" s="73"/>
      <c r="BF10" s="73"/>
      <c r="BG10" s="74"/>
      <c r="BH10" s="74"/>
      <c r="BI10" s="74"/>
      <c r="BJ10" s="74"/>
      <c r="BK10" s="74"/>
    </row>
    <row r="11" spans="1:76" ht="19.5" customHeight="1" x14ac:dyDescent="0.2">
      <c r="A11" s="548" t="s">
        <v>5</v>
      </c>
      <c r="B11" s="549"/>
      <c r="C11" s="549"/>
      <c r="D11" s="549"/>
      <c r="E11" s="549"/>
      <c r="F11" s="549"/>
      <c r="G11" s="549"/>
      <c r="H11" s="549"/>
      <c r="I11" s="549"/>
      <c r="J11" s="549"/>
      <c r="K11" s="549"/>
      <c r="L11" s="549"/>
      <c r="M11" s="549"/>
      <c r="N11" s="549"/>
      <c r="O11" s="549"/>
      <c r="P11" s="549"/>
      <c r="Q11" s="549"/>
      <c r="R11" s="549"/>
      <c r="S11" s="549"/>
      <c r="T11" s="549"/>
      <c r="U11" s="549"/>
      <c r="V11" s="549"/>
      <c r="W11" s="549"/>
      <c r="X11" s="549"/>
      <c r="Y11" s="549"/>
      <c r="Z11" s="549"/>
      <c r="AA11" s="549"/>
      <c r="AB11" s="549"/>
      <c r="AC11" s="549"/>
      <c r="AD11" s="549"/>
      <c r="AE11" s="549"/>
      <c r="AF11" s="549"/>
      <c r="AG11" s="549"/>
      <c r="AH11" s="549"/>
      <c r="AI11" s="549"/>
      <c r="AJ11" s="549"/>
      <c r="AK11" s="549"/>
      <c r="AL11" s="549"/>
      <c r="AM11" s="549"/>
      <c r="AN11" s="549"/>
      <c r="AO11" s="549"/>
      <c r="AP11" s="549"/>
      <c r="AQ11" s="549"/>
      <c r="AR11" s="549"/>
      <c r="AS11" s="549"/>
      <c r="AT11" s="549"/>
      <c r="AU11" s="549"/>
      <c r="AV11" s="549"/>
      <c r="AW11" s="549"/>
      <c r="AX11" s="549"/>
      <c r="AY11" s="549"/>
      <c r="AZ11" s="549"/>
      <c r="BA11" s="549"/>
      <c r="BB11" s="549"/>
      <c r="BC11" s="549"/>
      <c r="BD11" s="549"/>
      <c r="BE11" s="549"/>
      <c r="BF11" s="549"/>
      <c r="BG11" s="549"/>
      <c r="BH11" s="549"/>
      <c r="BI11" s="549"/>
      <c r="BJ11" s="549"/>
      <c r="BK11" s="549"/>
    </row>
    <row r="12" spans="1:76" ht="31.5" customHeight="1" x14ac:dyDescent="0.2">
      <c r="A12" s="550" t="s">
        <v>720</v>
      </c>
      <c r="B12" s="551"/>
      <c r="C12" s="551"/>
      <c r="D12" s="551"/>
      <c r="E12" s="551"/>
      <c r="F12" s="551"/>
      <c r="G12" s="551"/>
      <c r="H12" s="551"/>
      <c r="I12" s="551"/>
      <c r="J12" s="551"/>
      <c r="K12" s="551"/>
      <c r="L12" s="551"/>
      <c r="M12" s="551"/>
      <c r="N12" s="551"/>
      <c r="O12" s="551"/>
      <c r="P12" s="551"/>
      <c r="Q12" s="551"/>
      <c r="R12" s="551"/>
      <c r="S12" s="551"/>
      <c r="T12" s="551"/>
      <c r="U12" s="551"/>
      <c r="V12" s="551"/>
      <c r="W12" s="551"/>
      <c r="X12" s="551"/>
      <c r="Y12" s="551"/>
      <c r="Z12" s="551"/>
      <c r="AA12" s="551"/>
      <c r="AB12" s="551"/>
      <c r="AC12" s="551"/>
      <c r="AD12" s="551"/>
      <c r="AE12" s="551"/>
      <c r="AF12" s="551"/>
      <c r="AG12" s="551"/>
      <c r="AH12" s="551"/>
      <c r="AI12" s="551"/>
      <c r="AJ12" s="551"/>
      <c r="AK12" s="551"/>
      <c r="AL12" s="551"/>
      <c r="AM12" s="551"/>
      <c r="AN12" s="551"/>
      <c r="AO12" s="551"/>
      <c r="AP12" s="551"/>
      <c r="AQ12" s="551"/>
      <c r="AR12" s="551"/>
      <c r="AS12" s="551"/>
      <c r="AT12" s="551"/>
      <c r="AU12" s="551"/>
      <c r="AV12" s="551"/>
      <c r="AW12" s="551"/>
      <c r="AX12" s="551"/>
      <c r="AY12" s="551"/>
      <c r="AZ12" s="551"/>
      <c r="BA12" s="551"/>
      <c r="BB12" s="551"/>
      <c r="BC12" s="551"/>
      <c r="BD12" s="551"/>
      <c r="BE12" s="551"/>
      <c r="BF12" s="551"/>
      <c r="BG12" s="551"/>
      <c r="BH12" s="551"/>
      <c r="BI12" s="551"/>
      <c r="BJ12" s="551"/>
      <c r="BK12" s="551"/>
    </row>
    <row r="13" spans="1:76" ht="12.95" customHeight="1" x14ac:dyDescent="0.2">
      <c r="A13" s="533" t="s">
        <v>313</v>
      </c>
      <c r="B13" s="533"/>
      <c r="C13" s="534" t="s">
        <v>227</v>
      </c>
      <c r="D13" s="534"/>
      <c r="E13" s="534"/>
      <c r="F13" s="534"/>
      <c r="G13" s="534"/>
      <c r="H13" s="534"/>
      <c r="I13" s="534"/>
      <c r="J13" s="534"/>
      <c r="K13" s="531" t="s">
        <v>314</v>
      </c>
      <c r="L13" s="531"/>
      <c r="M13" s="531"/>
      <c r="N13" s="531"/>
      <c r="O13" s="531"/>
      <c r="P13" s="531"/>
      <c r="Q13" s="537" t="s">
        <v>315</v>
      </c>
      <c r="R13" s="537"/>
      <c r="S13" s="537"/>
      <c r="T13" s="537"/>
      <c r="U13" s="537"/>
      <c r="V13" s="537"/>
      <c r="W13" s="530" t="s">
        <v>316</v>
      </c>
      <c r="X13" s="530"/>
      <c r="Y13" s="530"/>
      <c r="Z13" s="530"/>
      <c r="AA13" s="530"/>
      <c r="AB13" s="530"/>
      <c r="AC13" s="530" t="s">
        <v>317</v>
      </c>
      <c r="AD13" s="530"/>
      <c r="AE13" s="530"/>
      <c r="AF13" s="530" t="s">
        <v>318</v>
      </c>
      <c r="AG13" s="530"/>
      <c r="AH13" s="530"/>
      <c r="AI13" s="530"/>
      <c r="AJ13" s="530" t="s">
        <v>319</v>
      </c>
      <c r="AK13" s="530"/>
      <c r="AL13" s="530"/>
      <c r="AM13" s="530" t="s">
        <v>320</v>
      </c>
      <c r="AN13" s="530"/>
      <c r="AO13" s="530"/>
      <c r="AP13" s="530"/>
      <c r="AQ13" s="530" t="s">
        <v>282</v>
      </c>
      <c r="AR13" s="530"/>
      <c r="AS13" s="530"/>
      <c r="AT13" s="530"/>
      <c r="AU13" s="530"/>
      <c r="AV13" s="533" t="s">
        <v>321</v>
      </c>
      <c r="AW13" s="533"/>
      <c r="AX13" s="533"/>
      <c r="AY13" s="533"/>
      <c r="AZ13" s="547" t="s">
        <v>322</v>
      </c>
      <c r="BA13" s="547"/>
      <c r="BB13" s="537" t="s">
        <v>339</v>
      </c>
      <c r="BC13" s="537"/>
      <c r="BD13" s="537"/>
      <c r="BE13" s="537"/>
      <c r="BF13" s="537"/>
      <c r="BG13" s="537"/>
      <c r="BH13" s="537"/>
      <c r="BI13" s="537"/>
      <c r="BJ13" s="537"/>
      <c r="BK13" s="537"/>
    </row>
    <row r="14" spans="1:76" ht="12.95" customHeight="1" x14ac:dyDescent="0.2">
      <c r="A14" s="533"/>
      <c r="B14" s="533"/>
      <c r="C14" s="534"/>
      <c r="D14" s="534"/>
      <c r="E14" s="534"/>
      <c r="F14" s="534"/>
      <c r="G14" s="534"/>
      <c r="H14" s="534"/>
      <c r="I14" s="534"/>
      <c r="J14" s="534"/>
      <c r="K14" s="531"/>
      <c r="L14" s="531"/>
      <c r="M14" s="531"/>
      <c r="N14" s="531"/>
      <c r="O14" s="531"/>
      <c r="P14" s="531"/>
      <c r="Q14" s="537"/>
      <c r="R14" s="537"/>
      <c r="S14" s="537"/>
      <c r="T14" s="537"/>
      <c r="U14" s="537"/>
      <c r="V14" s="537"/>
      <c r="W14" s="530"/>
      <c r="X14" s="530"/>
      <c r="Y14" s="530"/>
      <c r="Z14" s="530"/>
      <c r="AA14" s="530"/>
      <c r="AB14" s="530"/>
      <c r="AC14" s="530"/>
      <c r="AD14" s="530"/>
      <c r="AE14" s="530"/>
      <c r="AF14" s="530"/>
      <c r="AG14" s="530"/>
      <c r="AH14" s="530"/>
      <c r="AI14" s="530"/>
      <c r="AJ14" s="530"/>
      <c r="AK14" s="530"/>
      <c r="AL14" s="530"/>
      <c r="AM14" s="530"/>
      <c r="AN14" s="530"/>
      <c r="AO14" s="530"/>
      <c r="AP14" s="530"/>
      <c r="AQ14" s="530"/>
      <c r="AR14" s="530"/>
      <c r="AS14" s="530"/>
      <c r="AT14" s="530"/>
      <c r="AU14" s="530"/>
      <c r="AV14" s="533"/>
      <c r="AW14" s="533"/>
      <c r="AX14" s="533"/>
      <c r="AY14" s="533"/>
      <c r="AZ14" s="547"/>
      <c r="BA14" s="547"/>
      <c r="BB14" s="537"/>
      <c r="BC14" s="537"/>
      <c r="BD14" s="537"/>
      <c r="BE14" s="537"/>
      <c r="BF14" s="537"/>
      <c r="BG14" s="537"/>
      <c r="BH14" s="537"/>
      <c r="BI14" s="537"/>
      <c r="BJ14" s="537"/>
      <c r="BK14" s="537"/>
    </row>
    <row r="15" spans="1:76" ht="12.95" customHeight="1" x14ac:dyDescent="0.2">
      <c r="A15" s="533"/>
      <c r="B15" s="533"/>
      <c r="C15" s="534"/>
      <c r="D15" s="534"/>
      <c r="E15" s="534"/>
      <c r="F15" s="534"/>
      <c r="G15" s="534"/>
      <c r="H15" s="534"/>
      <c r="I15" s="534"/>
      <c r="J15" s="534"/>
      <c r="K15" s="534" t="s">
        <v>285</v>
      </c>
      <c r="L15" s="534"/>
      <c r="M15" s="534" t="s">
        <v>286</v>
      </c>
      <c r="N15" s="534"/>
      <c r="O15" s="534" t="s">
        <v>287</v>
      </c>
      <c r="P15" s="534"/>
      <c r="Q15" s="532" t="s">
        <v>285</v>
      </c>
      <c r="R15" s="532"/>
      <c r="S15" s="532" t="s">
        <v>286</v>
      </c>
      <c r="T15" s="532"/>
      <c r="U15" s="532" t="s">
        <v>287</v>
      </c>
      <c r="V15" s="532"/>
      <c r="W15" s="530"/>
      <c r="X15" s="530"/>
      <c r="Y15" s="530"/>
      <c r="Z15" s="530"/>
      <c r="AA15" s="530"/>
      <c r="AB15" s="530"/>
      <c r="AC15" s="530"/>
      <c r="AD15" s="530"/>
      <c r="AE15" s="530"/>
      <c r="AF15" s="530"/>
      <c r="AG15" s="530"/>
      <c r="AH15" s="530"/>
      <c r="AI15" s="530"/>
      <c r="AJ15" s="530"/>
      <c r="AK15" s="530"/>
      <c r="AL15" s="530"/>
      <c r="AM15" s="530"/>
      <c r="AN15" s="530"/>
      <c r="AO15" s="530"/>
      <c r="AP15" s="530"/>
      <c r="AQ15" s="530"/>
      <c r="AR15" s="530"/>
      <c r="AS15" s="530"/>
      <c r="AT15" s="530"/>
      <c r="AU15" s="530"/>
      <c r="AV15" s="533"/>
      <c r="AW15" s="533"/>
      <c r="AX15" s="533"/>
      <c r="AY15" s="533"/>
      <c r="AZ15" s="547"/>
      <c r="BA15" s="547"/>
      <c r="BB15" s="537"/>
      <c r="BC15" s="537"/>
      <c r="BD15" s="537"/>
      <c r="BE15" s="537"/>
      <c r="BF15" s="537"/>
      <c r="BG15" s="537"/>
      <c r="BH15" s="537"/>
      <c r="BI15" s="537"/>
      <c r="BJ15" s="537"/>
      <c r="BK15" s="537"/>
    </row>
    <row r="16" spans="1:76" ht="25.5" customHeight="1" x14ac:dyDescent="0.2">
      <c r="A16" s="308"/>
      <c r="B16" s="310"/>
      <c r="C16" s="308"/>
      <c r="D16" s="309"/>
      <c r="E16" s="309"/>
      <c r="F16" s="309"/>
      <c r="G16" s="309"/>
      <c r="H16" s="309"/>
      <c r="I16" s="309"/>
      <c r="J16" s="310"/>
      <c r="K16" s="308"/>
      <c r="L16" s="310"/>
      <c r="M16" s="308"/>
      <c r="N16" s="310"/>
      <c r="O16" s="308"/>
      <c r="P16" s="310"/>
      <c r="Q16" s="308"/>
      <c r="R16" s="310"/>
      <c r="S16" s="308"/>
      <c r="T16" s="310"/>
      <c r="U16" s="308"/>
      <c r="V16" s="310"/>
      <c r="W16" s="308"/>
      <c r="X16" s="309"/>
      <c r="Y16" s="309"/>
      <c r="Z16" s="309"/>
      <c r="AA16" s="309"/>
      <c r="AB16" s="310"/>
      <c r="AC16" s="308"/>
      <c r="AD16" s="309"/>
      <c r="AE16" s="310"/>
      <c r="AF16" s="308"/>
      <c r="AG16" s="309"/>
      <c r="AH16" s="309"/>
      <c r="AI16" s="310"/>
      <c r="AJ16" s="308"/>
      <c r="AK16" s="309"/>
      <c r="AL16" s="310"/>
      <c r="AM16" s="308"/>
      <c r="AN16" s="309"/>
      <c r="AO16" s="309"/>
      <c r="AP16" s="310"/>
      <c r="AQ16" s="478"/>
      <c r="AR16" s="478"/>
      <c r="AS16" s="478"/>
      <c r="AT16" s="478"/>
      <c r="AU16" s="478"/>
      <c r="AV16" s="536"/>
      <c r="AW16" s="536"/>
      <c r="AX16" s="536"/>
      <c r="AY16" s="536"/>
      <c r="AZ16" s="308"/>
      <c r="BA16" s="310"/>
      <c r="BB16" s="525"/>
      <c r="BC16" s="525"/>
      <c r="BD16" s="525"/>
      <c r="BE16" s="525"/>
      <c r="BF16" s="525"/>
      <c r="BG16" s="525"/>
      <c r="BH16" s="525"/>
      <c r="BI16" s="525"/>
      <c r="BJ16" s="525"/>
      <c r="BK16" s="525"/>
    </row>
    <row r="17" spans="1:63" ht="25.5" customHeight="1" x14ac:dyDescent="0.2">
      <c r="A17" s="308"/>
      <c r="B17" s="310"/>
      <c r="C17" s="308"/>
      <c r="D17" s="309"/>
      <c r="E17" s="309"/>
      <c r="F17" s="309"/>
      <c r="G17" s="309"/>
      <c r="H17" s="309"/>
      <c r="I17" s="309"/>
      <c r="J17" s="310"/>
      <c r="K17" s="308"/>
      <c r="L17" s="310"/>
      <c r="M17" s="308"/>
      <c r="N17" s="310"/>
      <c r="O17" s="308"/>
      <c r="P17" s="310"/>
      <c r="Q17" s="308"/>
      <c r="R17" s="310"/>
      <c r="S17" s="308"/>
      <c r="T17" s="310"/>
      <c r="U17" s="308"/>
      <c r="V17" s="310"/>
      <c r="W17" s="308"/>
      <c r="X17" s="309"/>
      <c r="Y17" s="309"/>
      <c r="Z17" s="309"/>
      <c r="AA17" s="309"/>
      <c r="AB17" s="310"/>
      <c r="AC17" s="308"/>
      <c r="AD17" s="309"/>
      <c r="AE17" s="310"/>
      <c r="AF17" s="308"/>
      <c r="AG17" s="309"/>
      <c r="AH17" s="309"/>
      <c r="AI17" s="310"/>
      <c r="AJ17" s="308"/>
      <c r="AK17" s="309"/>
      <c r="AL17" s="310"/>
      <c r="AM17" s="308"/>
      <c r="AN17" s="309"/>
      <c r="AO17" s="309"/>
      <c r="AP17" s="310"/>
      <c r="AQ17" s="478"/>
      <c r="AR17" s="478"/>
      <c r="AS17" s="478"/>
      <c r="AT17" s="478"/>
      <c r="AU17" s="478"/>
      <c r="AV17" s="536"/>
      <c r="AW17" s="536"/>
      <c r="AX17" s="536"/>
      <c r="AY17" s="536"/>
      <c r="AZ17" s="308"/>
      <c r="BA17" s="310"/>
      <c r="BB17" s="525"/>
      <c r="BC17" s="525"/>
      <c r="BD17" s="525"/>
      <c r="BE17" s="525"/>
      <c r="BF17" s="525"/>
      <c r="BG17" s="525"/>
      <c r="BH17" s="525"/>
      <c r="BI17" s="525"/>
      <c r="BJ17" s="525"/>
      <c r="BK17" s="525"/>
    </row>
    <row r="18" spans="1:63" ht="25.5" customHeight="1" x14ac:dyDescent="0.2">
      <c r="A18" s="308"/>
      <c r="B18" s="310"/>
      <c r="C18" s="308"/>
      <c r="D18" s="309"/>
      <c r="E18" s="309"/>
      <c r="F18" s="309"/>
      <c r="G18" s="309"/>
      <c r="H18" s="309"/>
      <c r="I18" s="309"/>
      <c r="J18" s="310"/>
      <c r="K18" s="308"/>
      <c r="L18" s="310"/>
      <c r="M18" s="308"/>
      <c r="N18" s="310"/>
      <c r="O18" s="308"/>
      <c r="P18" s="310"/>
      <c r="Q18" s="308"/>
      <c r="R18" s="310"/>
      <c r="S18" s="308"/>
      <c r="T18" s="310"/>
      <c r="U18" s="308"/>
      <c r="V18" s="310"/>
      <c r="W18" s="308"/>
      <c r="X18" s="309"/>
      <c r="Y18" s="309"/>
      <c r="Z18" s="309"/>
      <c r="AA18" s="309"/>
      <c r="AB18" s="310"/>
      <c r="AC18" s="308"/>
      <c r="AD18" s="309"/>
      <c r="AE18" s="310"/>
      <c r="AF18" s="308"/>
      <c r="AG18" s="309"/>
      <c r="AH18" s="309"/>
      <c r="AI18" s="310"/>
      <c r="AJ18" s="308"/>
      <c r="AK18" s="309"/>
      <c r="AL18" s="310"/>
      <c r="AM18" s="308"/>
      <c r="AN18" s="309"/>
      <c r="AO18" s="309"/>
      <c r="AP18" s="310"/>
      <c r="AQ18" s="478"/>
      <c r="AR18" s="478"/>
      <c r="AS18" s="478"/>
      <c r="AT18" s="478"/>
      <c r="AU18" s="478"/>
      <c r="AV18" s="536"/>
      <c r="AW18" s="536"/>
      <c r="AX18" s="536"/>
      <c r="AY18" s="536"/>
      <c r="AZ18" s="308"/>
      <c r="BA18" s="310"/>
      <c r="BB18" s="525"/>
      <c r="BC18" s="525"/>
      <c r="BD18" s="525"/>
      <c r="BE18" s="525"/>
      <c r="BF18" s="525"/>
      <c r="BG18" s="525"/>
      <c r="BH18" s="525"/>
      <c r="BI18" s="525"/>
      <c r="BJ18" s="525"/>
      <c r="BK18" s="525"/>
    </row>
    <row r="19" spans="1:63" ht="25.5" customHeight="1" x14ac:dyDescent="0.2">
      <c r="A19" s="308"/>
      <c r="B19" s="310"/>
      <c r="C19" s="308"/>
      <c r="D19" s="309"/>
      <c r="E19" s="309"/>
      <c r="F19" s="309"/>
      <c r="G19" s="309"/>
      <c r="H19" s="309"/>
      <c r="I19" s="309"/>
      <c r="J19" s="310"/>
      <c r="K19" s="308"/>
      <c r="L19" s="310"/>
      <c r="M19" s="308"/>
      <c r="N19" s="310"/>
      <c r="O19" s="308"/>
      <c r="P19" s="310"/>
      <c r="Q19" s="308"/>
      <c r="R19" s="310"/>
      <c r="S19" s="308"/>
      <c r="T19" s="310"/>
      <c r="U19" s="308"/>
      <c r="V19" s="310"/>
      <c r="W19" s="308"/>
      <c r="X19" s="309"/>
      <c r="Y19" s="309"/>
      <c r="Z19" s="309"/>
      <c r="AA19" s="309"/>
      <c r="AB19" s="310"/>
      <c r="AC19" s="308"/>
      <c r="AD19" s="309"/>
      <c r="AE19" s="310"/>
      <c r="AF19" s="308"/>
      <c r="AG19" s="309"/>
      <c r="AH19" s="309"/>
      <c r="AI19" s="310"/>
      <c r="AJ19" s="308"/>
      <c r="AK19" s="309"/>
      <c r="AL19" s="310"/>
      <c r="AM19" s="308"/>
      <c r="AN19" s="309"/>
      <c r="AO19" s="309"/>
      <c r="AP19" s="310"/>
      <c r="AQ19" s="478"/>
      <c r="AR19" s="478"/>
      <c r="AS19" s="478"/>
      <c r="AT19" s="478"/>
      <c r="AU19" s="478"/>
      <c r="AV19" s="536"/>
      <c r="AW19" s="536"/>
      <c r="AX19" s="536"/>
      <c r="AY19" s="536"/>
      <c r="AZ19" s="308"/>
      <c r="BA19" s="310"/>
      <c r="BB19" s="525"/>
      <c r="BC19" s="525"/>
      <c r="BD19" s="525"/>
      <c r="BE19" s="525"/>
      <c r="BF19" s="525"/>
      <c r="BG19" s="525"/>
      <c r="BH19" s="525"/>
      <c r="BI19" s="525"/>
      <c r="BJ19" s="525"/>
      <c r="BK19" s="525"/>
    </row>
    <row r="20" spans="1:63" ht="25.5" customHeight="1" x14ac:dyDescent="0.2">
      <c r="A20" s="308"/>
      <c r="B20" s="310"/>
      <c r="C20" s="308"/>
      <c r="D20" s="309"/>
      <c r="E20" s="309"/>
      <c r="F20" s="309"/>
      <c r="G20" s="309"/>
      <c r="H20" s="309"/>
      <c r="I20" s="309"/>
      <c r="J20" s="310"/>
      <c r="K20" s="308"/>
      <c r="L20" s="310"/>
      <c r="M20" s="308"/>
      <c r="N20" s="310"/>
      <c r="O20" s="308"/>
      <c r="P20" s="310"/>
      <c r="Q20" s="308"/>
      <c r="R20" s="310"/>
      <c r="S20" s="308"/>
      <c r="T20" s="310"/>
      <c r="U20" s="308"/>
      <c r="V20" s="310"/>
      <c r="W20" s="308"/>
      <c r="X20" s="309"/>
      <c r="Y20" s="309"/>
      <c r="Z20" s="309"/>
      <c r="AA20" s="309"/>
      <c r="AB20" s="310"/>
      <c r="AC20" s="308"/>
      <c r="AD20" s="309"/>
      <c r="AE20" s="310"/>
      <c r="AF20" s="308"/>
      <c r="AG20" s="309"/>
      <c r="AH20" s="309"/>
      <c r="AI20" s="310"/>
      <c r="AJ20" s="308"/>
      <c r="AK20" s="309"/>
      <c r="AL20" s="310"/>
      <c r="AM20" s="308"/>
      <c r="AN20" s="309"/>
      <c r="AO20" s="309"/>
      <c r="AP20" s="310"/>
      <c r="AQ20" s="478"/>
      <c r="AR20" s="478"/>
      <c r="AS20" s="478"/>
      <c r="AT20" s="478"/>
      <c r="AU20" s="478"/>
      <c r="AV20" s="536"/>
      <c r="AW20" s="536"/>
      <c r="AX20" s="536"/>
      <c r="AY20" s="536"/>
      <c r="AZ20" s="308"/>
      <c r="BA20" s="310"/>
      <c r="BB20" s="525"/>
      <c r="BC20" s="525"/>
      <c r="BD20" s="525"/>
      <c r="BE20" s="525"/>
      <c r="BF20" s="525"/>
      <c r="BG20" s="525"/>
      <c r="BH20" s="525"/>
      <c r="BI20" s="525"/>
      <c r="BJ20" s="525"/>
      <c r="BK20" s="525"/>
    </row>
    <row r="21" spans="1:63" ht="25.5" customHeight="1" x14ac:dyDescent="0.2">
      <c r="A21" s="308"/>
      <c r="B21" s="310"/>
      <c r="C21" s="308"/>
      <c r="D21" s="309"/>
      <c r="E21" s="309"/>
      <c r="F21" s="309"/>
      <c r="G21" s="309"/>
      <c r="H21" s="309"/>
      <c r="I21" s="309"/>
      <c r="J21" s="310"/>
      <c r="K21" s="308"/>
      <c r="L21" s="310"/>
      <c r="M21" s="308"/>
      <c r="N21" s="310"/>
      <c r="O21" s="308"/>
      <c r="P21" s="310"/>
      <c r="Q21" s="308"/>
      <c r="R21" s="310"/>
      <c r="S21" s="308"/>
      <c r="T21" s="310"/>
      <c r="U21" s="308"/>
      <c r="V21" s="310"/>
      <c r="W21" s="308"/>
      <c r="X21" s="309"/>
      <c r="Y21" s="309"/>
      <c r="Z21" s="309"/>
      <c r="AA21" s="309"/>
      <c r="AB21" s="310"/>
      <c r="AC21" s="308"/>
      <c r="AD21" s="309"/>
      <c r="AE21" s="310"/>
      <c r="AF21" s="308"/>
      <c r="AG21" s="309"/>
      <c r="AH21" s="309"/>
      <c r="AI21" s="310"/>
      <c r="AJ21" s="308"/>
      <c r="AK21" s="309"/>
      <c r="AL21" s="310"/>
      <c r="AM21" s="308"/>
      <c r="AN21" s="309"/>
      <c r="AO21" s="309"/>
      <c r="AP21" s="310"/>
      <c r="AQ21" s="478"/>
      <c r="AR21" s="478"/>
      <c r="AS21" s="478"/>
      <c r="AT21" s="478"/>
      <c r="AU21" s="478"/>
      <c r="AV21" s="536"/>
      <c r="AW21" s="536"/>
      <c r="AX21" s="536"/>
      <c r="AY21" s="536"/>
      <c r="AZ21" s="308"/>
      <c r="BA21" s="310"/>
      <c r="BB21" s="525"/>
      <c r="BC21" s="525"/>
      <c r="BD21" s="525"/>
      <c r="BE21" s="525"/>
      <c r="BF21" s="525"/>
      <c r="BG21" s="525"/>
      <c r="BH21" s="525"/>
      <c r="BI21" s="525"/>
      <c r="BJ21" s="525"/>
      <c r="BK21" s="525"/>
    </row>
    <row r="22" spans="1:63" ht="25.5" customHeight="1" x14ac:dyDescent="0.2">
      <c r="A22" s="308"/>
      <c r="B22" s="310"/>
      <c r="C22" s="308"/>
      <c r="D22" s="309"/>
      <c r="E22" s="309"/>
      <c r="F22" s="309"/>
      <c r="G22" s="309"/>
      <c r="H22" s="309"/>
      <c r="I22" s="309"/>
      <c r="J22" s="310"/>
      <c r="K22" s="308"/>
      <c r="L22" s="310"/>
      <c r="M22" s="308"/>
      <c r="N22" s="310"/>
      <c r="O22" s="308"/>
      <c r="P22" s="310"/>
      <c r="Q22" s="308"/>
      <c r="R22" s="310"/>
      <c r="S22" s="308"/>
      <c r="T22" s="310"/>
      <c r="U22" s="308"/>
      <c r="V22" s="310"/>
      <c r="W22" s="308"/>
      <c r="X22" s="309"/>
      <c r="Y22" s="309"/>
      <c r="Z22" s="309"/>
      <c r="AA22" s="309"/>
      <c r="AB22" s="310"/>
      <c r="AC22" s="308"/>
      <c r="AD22" s="309"/>
      <c r="AE22" s="310"/>
      <c r="AF22" s="308"/>
      <c r="AG22" s="309"/>
      <c r="AH22" s="309"/>
      <c r="AI22" s="310"/>
      <c r="AJ22" s="308"/>
      <c r="AK22" s="309"/>
      <c r="AL22" s="310"/>
      <c r="AM22" s="308"/>
      <c r="AN22" s="309"/>
      <c r="AO22" s="309"/>
      <c r="AP22" s="310"/>
      <c r="AQ22" s="478"/>
      <c r="AR22" s="478"/>
      <c r="AS22" s="478"/>
      <c r="AT22" s="478"/>
      <c r="AU22" s="478"/>
      <c r="AV22" s="536"/>
      <c r="AW22" s="536"/>
      <c r="AX22" s="536"/>
      <c r="AY22" s="536"/>
      <c r="AZ22" s="308"/>
      <c r="BA22" s="310"/>
      <c r="BB22" s="525"/>
      <c r="BC22" s="525"/>
      <c r="BD22" s="525"/>
      <c r="BE22" s="525"/>
      <c r="BF22" s="525"/>
      <c r="BG22" s="525"/>
      <c r="BH22" s="525"/>
      <c r="BI22" s="525"/>
      <c r="BJ22" s="525"/>
      <c r="BK22" s="525"/>
    </row>
    <row r="23" spans="1:63" ht="25.5" customHeight="1" x14ac:dyDescent="0.2">
      <c r="A23" s="308"/>
      <c r="B23" s="310"/>
      <c r="C23" s="308"/>
      <c r="D23" s="309"/>
      <c r="E23" s="309"/>
      <c r="F23" s="309"/>
      <c r="G23" s="309"/>
      <c r="H23" s="309"/>
      <c r="I23" s="309"/>
      <c r="J23" s="310"/>
      <c r="K23" s="308"/>
      <c r="L23" s="310"/>
      <c r="M23" s="308"/>
      <c r="N23" s="310"/>
      <c r="O23" s="308"/>
      <c r="P23" s="310"/>
      <c r="Q23" s="308"/>
      <c r="R23" s="310"/>
      <c r="S23" s="308"/>
      <c r="T23" s="310"/>
      <c r="U23" s="308"/>
      <c r="V23" s="310"/>
      <c r="W23" s="308"/>
      <c r="X23" s="309"/>
      <c r="Y23" s="309"/>
      <c r="Z23" s="309"/>
      <c r="AA23" s="309"/>
      <c r="AB23" s="310"/>
      <c r="AC23" s="308"/>
      <c r="AD23" s="309"/>
      <c r="AE23" s="310"/>
      <c r="AF23" s="308"/>
      <c r="AG23" s="309"/>
      <c r="AH23" s="309"/>
      <c r="AI23" s="310"/>
      <c r="AJ23" s="308"/>
      <c r="AK23" s="309"/>
      <c r="AL23" s="310"/>
      <c r="AM23" s="308"/>
      <c r="AN23" s="309"/>
      <c r="AO23" s="309"/>
      <c r="AP23" s="310"/>
      <c r="AQ23" s="478"/>
      <c r="AR23" s="478"/>
      <c r="AS23" s="478"/>
      <c r="AT23" s="478"/>
      <c r="AU23" s="478"/>
      <c r="AV23" s="536"/>
      <c r="AW23" s="536"/>
      <c r="AX23" s="536"/>
      <c r="AY23" s="536"/>
      <c r="AZ23" s="308"/>
      <c r="BA23" s="310"/>
      <c r="BB23" s="525"/>
      <c r="BC23" s="525"/>
      <c r="BD23" s="525"/>
      <c r="BE23" s="525"/>
      <c r="BF23" s="525"/>
      <c r="BG23" s="525"/>
      <c r="BH23" s="525"/>
      <c r="BI23" s="525"/>
      <c r="BJ23" s="525"/>
      <c r="BK23" s="525"/>
    </row>
    <row r="24" spans="1:63" ht="25.5" customHeight="1" x14ac:dyDescent="0.2">
      <c r="A24" s="308"/>
      <c r="B24" s="310"/>
      <c r="C24" s="308"/>
      <c r="D24" s="309"/>
      <c r="E24" s="309"/>
      <c r="F24" s="309"/>
      <c r="G24" s="309"/>
      <c r="H24" s="309"/>
      <c r="I24" s="309"/>
      <c r="J24" s="310"/>
      <c r="K24" s="308"/>
      <c r="L24" s="310"/>
      <c r="M24" s="308"/>
      <c r="N24" s="310"/>
      <c r="O24" s="308"/>
      <c r="P24" s="310"/>
      <c r="Q24" s="308"/>
      <c r="R24" s="310"/>
      <c r="S24" s="308"/>
      <c r="T24" s="310"/>
      <c r="U24" s="308"/>
      <c r="V24" s="310"/>
      <c r="W24" s="308"/>
      <c r="X24" s="309"/>
      <c r="Y24" s="309"/>
      <c r="Z24" s="309"/>
      <c r="AA24" s="309"/>
      <c r="AB24" s="310"/>
      <c r="AC24" s="308"/>
      <c r="AD24" s="309"/>
      <c r="AE24" s="310"/>
      <c r="AF24" s="308"/>
      <c r="AG24" s="309"/>
      <c r="AH24" s="309"/>
      <c r="AI24" s="310"/>
      <c r="AJ24" s="308"/>
      <c r="AK24" s="309"/>
      <c r="AL24" s="310"/>
      <c r="AM24" s="308"/>
      <c r="AN24" s="309"/>
      <c r="AO24" s="309"/>
      <c r="AP24" s="310"/>
      <c r="AQ24" s="478"/>
      <c r="AR24" s="478"/>
      <c r="AS24" s="478"/>
      <c r="AT24" s="478"/>
      <c r="AU24" s="478"/>
      <c r="AV24" s="536"/>
      <c r="AW24" s="536"/>
      <c r="AX24" s="536"/>
      <c r="AY24" s="536"/>
      <c r="AZ24" s="308"/>
      <c r="BA24" s="310"/>
      <c r="BB24" s="525"/>
      <c r="BC24" s="525"/>
      <c r="BD24" s="525"/>
      <c r="BE24" s="525"/>
      <c r="BF24" s="525"/>
      <c r="BG24" s="525"/>
      <c r="BH24" s="525"/>
      <c r="BI24" s="525"/>
      <c r="BJ24" s="525"/>
      <c r="BK24" s="525"/>
    </row>
    <row r="25" spans="1:63" ht="25.5" customHeight="1" x14ac:dyDescent="0.2">
      <c r="A25" s="308"/>
      <c r="B25" s="310"/>
      <c r="C25" s="308"/>
      <c r="D25" s="309"/>
      <c r="E25" s="309"/>
      <c r="F25" s="309"/>
      <c r="G25" s="309"/>
      <c r="H25" s="309"/>
      <c r="I25" s="309"/>
      <c r="J25" s="310"/>
      <c r="K25" s="308"/>
      <c r="L25" s="310"/>
      <c r="M25" s="308"/>
      <c r="N25" s="310"/>
      <c r="O25" s="308"/>
      <c r="P25" s="310"/>
      <c r="Q25" s="308"/>
      <c r="R25" s="310"/>
      <c r="S25" s="308"/>
      <c r="T25" s="310"/>
      <c r="U25" s="308"/>
      <c r="V25" s="310"/>
      <c r="W25" s="308"/>
      <c r="X25" s="309"/>
      <c r="Y25" s="309"/>
      <c r="Z25" s="309"/>
      <c r="AA25" s="309"/>
      <c r="AB25" s="310"/>
      <c r="AC25" s="308"/>
      <c r="AD25" s="309"/>
      <c r="AE25" s="310"/>
      <c r="AF25" s="308"/>
      <c r="AG25" s="309"/>
      <c r="AH25" s="309"/>
      <c r="AI25" s="310"/>
      <c r="AJ25" s="308"/>
      <c r="AK25" s="309"/>
      <c r="AL25" s="310"/>
      <c r="AM25" s="308"/>
      <c r="AN25" s="309"/>
      <c r="AO25" s="309"/>
      <c r="AP25" s="310"/>
      <c r="AQ25" s="478"/>
      <c r="AR25" s="478"/>
      <c r="AS25" s="478"/>
      <c r="AT25" s="478"/>
      <c r="AU25" s="478"/>
      <c r="AV25" s="536"/>
      <c r="AW25" s="536"/>
      <c r="AX25" s="536"/>
      <c r="AY25" s="536"/>
      <c r="AZ25" s="308"/>
      <c r="BA25" s="310"/>
      <c r="BB25" s="525"/>
      <c r="BC25" s="525"/>
      <c r="BD25" s="525"/>
      <c r="BE25" s="525"/>
      <c r="BF25" s="525"/>
      <c r="BG25" s="525"/>
      <c r="BH25" s="525"/>
      <c r="BI25" s="525"/>
      <c r="BJ25" s="525"/>
      <c r="BK25" s="525"/>
    </row>
    <row r="26" spans="1:63" s="77" customFormat="1" ht="11.25" x14ac:dyDescent="0.2"/>
    <row r="27" spans="1:63" ht="12.95" customHeight="1" x14ac:dyDescent="0.2">
      <c r="G27" s="63"/>
      <c r="H27" s="63"/>
      <c r="I27" s="63"/>
      <c r="J27" s="63"/>
      <c r="K27" s="63"/>
      <c r="L27" s="63"/>
      <c r="M27" s="63"/>
      <c r="N27" s="63"/>
      <c r="O27" s="63"/>
      <c r="P27" s="63"/>
      <c r="Q27" s="63"/>
      <c r="R27" s="63"/>
      <c r="S27" s="63"/>
      <c r="T27" s="63"/>
      <c r="U27" s="63"/>
      <c r="V27" s="63"/>
      <c r="W27" s="63"/>
      <c r="X27" s="63"/>
      <c r="Y27" s="63"/>
      <c r="Z27" s="63"/>
      <c r="AA27" s="63"/>
      <c r="AB27" s="63"/>
      <c r="AC27" s="63"/>
      <c r="AD27" s="63"/>
      <c r="AE27" s="78" t="s">
        <v>323</v>
      </c>
      <c r="AF27" s="77"/>
      <c r="AG27" s="77"/>
      <c r="AH27" s="77"/>
      <c r="AI27" s="77"/>
      <c r="AJ27" s="77"/>
      <c r="AK27" s="77"/>
      <c r="AL27" s="77"/>
      <c r="AM27" s="77"/>
      <c r="AN27" s="77"/>
      <c r="AO27" s="77"/>
      <c r="AP27" s="77"/>
      <c r="AQ27" s="77"/>
      <c r="AR27" s="77"/>
      <c r="AT27" s="77"/>
      <c r="AU27" s="77"/>
      <c r="AV27" s="77"/>
      <c r="AW27" s="77"/>
      <c r="AX27" s="77"/>
      <c r="AY27" s="77"/>
      <c r="AZ27" s="77"/>
      <c r="BA27" s="77"/>
      <c r="BB27" s="77"/>
      <c r="BC27" s="77"/>
      <c r="BD27" s="77"/>
      <c r="BE27" s="77"/>
      <c r="BF27" s="77"/>
      <c r="BG27" s="77"/>
      <c r="BH27" s="63"/>
    </row>
    <row r="28" spans="1:63" ht="12.95" customHeight="1" x14ac:dyDescent="0.2">
      <c r="A28" s="528"/>
      <c r="B28" s="528"/>
      <c r="C28" s="528"/>
      <c r="D28" s="528"/>
      <c r="E28" s="528"/>
      <c r="F28" s="528"/>
      <c r="G28" s="63"/>
      <c r="H28" s="63"/>
      <c r="I28" s="63"/>
      <c r="J28" s="63"/>
      <c r="K28" s="63"/>
      <c r="L28" s="63"/>
      <c r="M28" s="63"/>
      <c r="N28" s="63"/>
      <c r="O28" s="63"/>
      <c r="P28" s="63"/>
      <c r="Q28" s="63"/>
      <c r="R28" s="63"/>
      <c r="S28" s="63"/>
      <c r="T28" s="63"/>
      <c r="U28" s="63"/>
      <c r="V28" s="63"/>
      <c r="W28" s="63"/>
      <c r="X28" s="63"/>
      <c r="Y28" s="63"/>
      <c r="Z28" s="63"/>
      <c r="AA28" s="63"/>
      <c r="AB28" s="63"/>
      <c r="AC28" s="63"/>
      <c r="AD28" s="63"/>
      <c r="AE28" s="79" t="s">
        <v>324</v>
      </c>
      <c r="AF28" s="67" t="s">
        <v>325</v>
      </c>
      <c r="AG28" s="63"/>
      <c r="AH28" s="63"/>
      <c r="AI28" s="79" t="s">
        <v>326</v>
      </c>
      <c r="AJ28" s="67" t="s">
        <v>327</v>
      </c>
      <c r="AK28" s="63"/>
      <c r="AL28" s="63"/>
      <c r="AM28" s="63"/>
      <c r="AN28" s="63"/>
      <c r="AO28" s="63"/>
      <c r="AP28" s="63"/>
      <c r="AQ28" s="63"/>
      <c r="AT28" s="63"/>
      <c r="AU28" s="63"/>
      <c r="AV28" s="63"/>
      <c r="AW28" s="63"/>
      <c r="AX28" s="63"/>
      <c r="AY28" s="63"/>
      <c r="AZ28" s="63"/>
      <c r="BA28" s="63"/>
      <c r="BB28" s="63"/>
      <c r="BC28" s="63"/>
      <c r="BD28" s="63"/>
      <c r="BE28" s="63"/>
      <c r="BF28" s="63"/>
      <c r="BG28" s="63"/>
      <c r="BH28" s="63"/>
    </row>
    <row r="29" spans="1:63" ht="12.95" customHeight="1" x14ac:dyDescent="0.2">
      <c r="A29" s="528"/>
      <c r="B29" s="528"/>
      <c r="C29" s="528"/>
      <c r="D29" s="528"/>
      <c r="E29" s="528"/>
      <c r="F29" s="528"/>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row>
    <row r="30" spans="1:63" ht="12.95" customHeight="1" x14ac:dyDescent="0.2">
      <c r="A30" s="71"/>
      <c r="B30" s="71"/>
      <c r="C30" s="71"/>
      <c r="D30" s="71"/>
      <c r="E30" s="71"/>
      <c r="F30" s="71"/>
      <c r="AE30" s="78" t="s">
        <v>328</v>
      </c>
      <c r="AF30" s="63"/>
      <c r="AG30" s="65" t="s">
        <v>329</v>
      </c>
    </row>
    <row r="31" spans="1:63" ht="12.95" customHeight="1" x14ac:dyDescent="0.2">
      <c r="A31" s="71"/>
      <c r="B31" s="71"/>
      <c r="C31" s="71"/>
      <c r="D31" s="71"/>
      <c r="E31" s="71"/>
      <c r="F31" s="71"/>
      <c r="AE31" s="78"/>
      <c r="AF31" s="63"/>
    </row>
    <row r="32" spans="1:63" ht="12.95" customHeight="1" x14ac:dyDescent="0.2">
      <c r="AE32" s="529"/>
      <c r="AF32" s="529"/>
      <c r="AG32" s="529"/>
      <c r="AH32" s="529"/>
      <c r="AI32" s="529"/>
      <c r="AJ32" s="529"/>
      <c r="AK32" s="529"/>
      <c r="AL32" s="529"/>
      <c r="AM32" s="529"/>
      <c r="AN32" s="529"/>
      <c r="AO32" s="529"/>
      <c r="AP32" s="529"/>
      <c r="AQ32" s="529"/>
      <c r="AR32" s="529"/>
      <c r="AS32" s="529"/>
      <c r="AT32" s="529"/>
      <c r="AU32" s="529"/>
      <c r="AV32" s="529"/>
      <c r="AW32" s="529"/>
      <c r="AX32" s="529"/>
      <c r="AY32" s="529"/>
      <c r="AZ32" s="529"/>
      <c r="BA32" s="529"/>
      <c r="BB32" s="529"/>
      <c r="BC32" s="529"/>
      <c r="BD32" s="529"/>
      <c r="BE32" s="529"/>
      <c r="BF32" s="529"/>
      <c r="BG32" s="529"/>
      <c r="BH32" s="529"/>
      <c r="BI32" s="529"/>
      <c r="BJ32" s="529"/>
      <c r="BK32" s="529"/>
    </row>
    <row r="33" spans="1:63" ht="25.5" customHeight="1" x14ac:dyDescent="0.2">
      <c r="A33" s="80"/>
      <c r="B33" s="80"/>
      <c r="C33" s="80"/>
      <c r="AE33" s="529"/>
      <c r="AF33" s="529"/>
      <c r="AG33" s="529"/>
      <c r="AH33" s="529"/>
      <c r="AI33" s="529"/>
      <c r="AJ33" s="529"/>
      <c r="AK33" s="529"/>
      <c r="AL33" s="529"/>
      <c r="AM33" s="529"/>
      <c r="AN33" s="529"/>
      <c r="AO33" s="529"/>
      <c r="AP33" s="529"/>
      <c r="AQ33" s="529"/>
      <c r="AR33" s="529"/>
      <c r="AS33" s="529"/>
      <c r="AT33" s="529"/>
      <c r="AU33" s="529"/>
      <c r="AV33" s="529"/>
      <c r="AW33" s="529"/>
      <c r="AX33" s="529"/>
      <c r="AY33" s="529"/>
      <c r="AZ33" s="529"/>
      <c r="BA33" s="529"/>
      <c r="BB33" s="529"/>
      <c r="BC33" s="529"/>
      <c r="BD33" s="529"/>
      <c r="BE33" s="529"/>
      <c r="BF33" s="529"/>
      <c r="BG33" s="529"/>
      <c r="BH33" s="529"/>
      <c r="BI33" s="529"/>
      <c r="BJ33" s="529"/>
      <c r="BK33" s="529"/>
    </row>
    <row r="34" spans="1:63" ht="12.95" customHeight="1" x14ac:dyDescent="0.2">
      <c r="AE34" s="67"/>
    </row>
    <row r="35" spans="1:63" ht="12.95" customHeight="1" x14ac:dyDescent="0.2">
      <c r="AE35" s="523" t="s">
        <v>2</v>
      </c>
      <c r="AF35" s="523"/>
      <c r="AG35" s="523"/>
      <c r="AH35" s="523"/>
      <c r="AI35" s="523"/>
      <c r="AJ35" s="11"/>
      <c r="AK35" s="517"/>
      <c r="AL35" s="517"/>
      <c r="AM35" s="517"/>
      <c r="AN35" s="517"/>
      <c r="AO35" s="517"/>
      <c r="AP35" s="517"/>
      <c r="AQ35" s="517"/>
      <c r="AR35" s="517"/>
      <c r="AS35" s="517"/>
      <c r="AU35" s="380" t="s">
        <v>301</v>
      </c>
      <c r="AV35" s="380"/>
      <c r="AW35" s="380"/>
      <c r="AX35" s="380"/>
      <c r="AY35" s="380"/>
      <c r="AZ35" s="380"/>
      <c r="BA35" s="524"/>
      <c r="BB35" s="524"/>
      <c r="BC35" s="524"/>
      <c r="BD35" s="524"/>
      <c r="BE35" s="524"/>
      <c r="BF35" s="524"/>
      <c r="BG35" s="524"/>
      <c r="BH35" s="524"/>
      <c r="BI35" s="524"/>
      <c r="BJ35" s="524"/>
    </row>
    <row r="36" spans="1:63" ht="12.95" customHeight="1" x14ac:dyDescent="0.2">
      <c r="AE36" s="11"/>
      <c r="AF36" s="11"/>
      <c r="AG36" s="11"/>
      <c r="AH36" s="11"/>
      <c r="AJ36" s="53"/>
      <c r="AK36" s="424" t="s">
        <v>3</v>
      </c>
      <c r="AL36" s="424"/>
      <c r="AM36" s="424"/>
      <c r="AN36" s="424"/>
      <c r="AO36" s="424"/>
      <c r="AP36" s="424"/>
      <c r="AQ36" s="424"/>
      <c r="AR36" s="424"/>
      <c r="AS36" s="424"/>
      <c r="AT36" s="63"/>
      <c r="AU36" s="11"/>
      <c r="AV36" s="11"/>
      <c r="AW36" s="11"/>
      <c r="AX36" s="11"/>
      <c r="AY36" s="11"/>
      <c r="AZ36" s="11"/>
      <c r="BA36" s="376" t="s">
        <v>6</v>
      </c>
      <c r="BB36" s="376"/>
      <c r="BC36" s="376"/>
      <c r="BD36" s="376"/>
      <c r="BE36" s="376"/>
      <c r="BF36" s="376"/>
      <c r="BG36" s="376"/>
      <c r="BH36" s="376"/>
      <c r="BI36" s="376"/>
      <c r="BJ36" s="376"/>
      <c r="BK36" s="63"/>
    </row>
    <row r="37" spans="1:63" ht="12.95" customHeight="1" x14ac:dyDescent="0.2">
      <c r="AH37" s="63"/>
      <c r="AI37" s="63"/>
      <c r="AJ37" s="63"/>
      <c r="AK37" s="63"/>
      <c r="AL37" s="63"/>
      <c r="AM37" s="63"/>
      <c r="AN37" s="63"/>
      <c r="AO37" s="63"/>
      <c r="AP37" s="63"/>
      <c r="AQ37" s="63"/>
      <c r="AR37" s="63"/>
      <c r="AS37" s="63"/>
      <c r="AT37" s="63"/>
      <c r="BK37" s="63"/>
    </row>
    <row r="38" spans="1:63" ht="16.5" customHeight="1" x14ac:dyDescent="0.2">
      <c r="AE38" s="81" t="s">
        <v>4</v>
      </c>
      <c r="AF38" s="81"/>
      <c r="AG38" s="81"/>
      <c r="AH38" s="81"/>
      <c r="AI38" s="81"/>
      <c r="AJ38" s="13"/>
      <c r="AK38" s="524"/>
      <c r="AL38" s="524"/>
      <c r="AM38" s="524"/>
      <c r="AN38" s="524"/>
      <c r="AO38" s="524"/>
      <c r="AP38" s="524"/>
      <c r="AQ38" s="524"/>
      <c r="AR38" s="524"/>
      <c r="AS38" s="524"/>
      <c r="AU38" s="378" t="s">
        <v>302</v>
      </c>
      <c r="AV38" s="378"/>
      <c r="AW38" s="378"/>
      <c r="AX38" s="378"/>
      <c r="AY38" s="378"/>
      <c r="AZ38" s="378"/>
      <c r="BA38" s="379"/>
      <c r="BB38" s="379"/>
      <c r="BC38" s="379"/>
      <c r="BD38" s="379"/>
      <c r="BE38" s="379"/>
      <c r="BF38" s="379"/>
      <c r="BG38" s="379"/>
      <c r="BH38" s="379"/>
      <c r="BI38" s="379"/>
      <c r="BJ38" s="379"/>
    </row>
    <row r="39" spans="1:63" ht="16.5" customHeight="1" x14ac:dyDescent="0.2">
      <c r="AE39" s="526" t="s">
        <v>7</v>
      </c>
      <c r="AF39" s="526"/>
      <c r="AG39" s="526"/>
      <c r="AH39" s="526"/>
      <c r="AI39" s="526"/>
      <c r="AJ39" s="13"/>
      <c r="AK39" s="527"/>
      <c r="AL39" s="527"/>
      <c r="AM39" s="527"/>
      <c r="AN39" s="527"/>
      <c r="AO39" s="527"/>
      <c r="AP39" s="527"/>
      <c r="AQ39" s="527"/>
      <c r="AR39" s="527"/>
      <c r="AS39" s="527"/>
      <c r="AU39" s="11"/>
      <c r="AV39" s="11"/>
      <c r="AW39" s="11"/>
      <c r="AX39" s="11"/>
      <c r="AY39" s="11"/>
      <c r="AZ39" s="11"/>
      <c r="BA39" s="376" t="s">
        <v>303</v>
      </c>
      <c r="BB39" s="376"/>
      <c r="BC39" s="376"/>
      <c r="BD39" s="376"/>
      <c r="BE39" s="376"/>
      <c r="BF39" s="376"/>
      <c r="BG39" s="376"/>
      <c r="BH39" s="376"/>
      <c r="BI39" s="376"/>
      <c r="BJ39" s="376"/>
    </row>
    <row r="40" spans="1:63" ht="16.5" customHeight="1" x14ac:dyDescent="0.2">
      <c r="AE40" s="526" t="s">
        <v>309</v>
      </c>
      <c r="AF40" s="526"/>
      <c r="AG40" s="526"/>
      <c r="AH40" s="526"/>
      <c r="AI40" s="526"/>
      <c r="AJ40" s="526"/>
      <c r="AK40" s="527"/>
      <c r="AL40" s="527"/>
      <c r="AM40" s="527"/>
      <c r="AN40" s="527"/>
      <c r="AO40" s="527"/>
      <c r="AP40" s="527"/>
      <c r="AQ40" s="527"/>
      <c r="AR40" s="527"/>
      <c r="AS40" s="527"/>
    </row>
    <row r="43" spans="1:63" ht="14.25" customHeight="1" x14ac:dyDescent="0.2">
      <c r="AE43" s="526" t="s">
        <v>300</v>
      </c>
      <c r="AF43" s="526"/>
      <c r="AG43" s="526"/>
      <c r="AH43" s="526"/>
      <c r="AI43" s="526"/>
      <c r="AJ43" s="526"/>
      <c r="AK43" s="517"/>
      <c r="AL43" s="517"/>
      <c r="AM43" s="517"/>
      <c r="AN43" s="517"/>
      <c r="AO43" s="517"/>
      <c r="AP43" s="517"/>
      <c r="AQ43" s="517"/>
      <c r="AR43" s="517"/>
      <c r="AS43" s="517"/>
    </row>
    <row r="44" spans="1:63" ht="16.5" customHeight="1" x14ac:dyDescent="0.2">
      <c r="AE44" s="526" t="s">
        <v>7</v>
      </c>
      <c r="AF44" s="526"/>
      <c r="AG44" s="526"/>
      <c r="AH44" s="526"/>
      <c r="AI44" s="526"/>
      <c r="AJ44" s="526"/>
      <c r="AK44" s="384"/>
      <c r="AL44" s="384"/>
      <c r="AM44" s="384"/>
      <c r="AN44" s="384"/>
      <c r="AO44" s="384"/>
      <c r="AP44" s="384"/>
      <c r="AQ44" s="384"/>
      <c r="AR44" s="384"/>
      <c r="AS44" s="384"/>
    </row>
  </sheetData>
  <sheetProtection password="E724" sheet="1" formatCells="0" formatColumns="0" formatRows="0" insertColumns="0" insertRows="0" insertHyperlinks="0" sort="0" autoFilter="0" pivotTables="0"/>
  <mergeCells count="229">
    <mergeCell ref="AV23:AY23"/>
    <mergeCell ref="AV24:AY24"/>
    <mergeCell ref="AV25:AY25"/>
    <mergeCell ref="AZ18:BA18"/>
    <mergeCell ref="AZ17:BA17"/>
    <mergeCell ref="AZ20:BA20"/>
    <mergeCell ref="AZ19:BA19"/>
    <mergeCell ref="AQ17:AU17"/>
    <mergeCell ref="AQ18:AU18"/>
    <mergeCell ref="AQ19:AU19"/>
    <mergeCell ref="BB16:BK16"/>
    <mergeCell ref="BB17:BK17"/>
    <mergeCell ref="BB18:BK18"/>
    <mergeCell ref="BB19:BK19"/>
    <mergeCell ref="BB20:BK20"/>
    <mergeCell ref="BB21:BK21"/>
    <mergeCell ref="BB22:BK22"/>
    <mergeCell ref="AV21:AY21"/>
    <mergeCell ref="AV22:AY22"/>
    <mergeCell ref="AZ22:BA22"/>
    <mergeCell ref="AZ21:BA21"/>
    <mergeCell ref="BB23:BK23"/>
    <mergeCell ref="AQ21:AU21"/>
    <mergeCell ref="AQ22:AU22"/>
    <mergeCell ref="AQ23:AU23"/>
    <mergeCell ref="M15:N15"/>
    <mergeCell ref="O15:P15"/>
    <mergeCell ref="Q13:V14"/>
    <mergeCell ref="W13:AB15"/>
    <mergeCell ref="W16:AB16"/>
    <mergeCell ref="U16:V16"/>
    <mergeCell ref="W19:AB19"/>
    <mergeCell ref="W20:AB20"/>
    <mergeCell ref="W18:AB18"/>
    <mergeCell ref="Q18:R18"/>
    <mergeCell ref="M17:N17"/>
    <mergeCell ref="O17:P17"/>
    <mergeCell ref="Q16:R16"/>
    <mergeCell ref="AZ16:BA16"/>
    <mergeCell ref="AQ20:AU20"/>
    <mergeCell ref="AV18:AY18"/>
    <mergeCell ref="AV19:AY19"/>
    <mergeCell ref="AV20:AY20"/>
    <mergeCell ref="AM19:AP19"/>
    <mergeCell ref="AF20:AI20"/>
    <mergeCell ref="A6:N6"/>
    <mergeCell ref="O6:AA6"/>
    <mergeCell ref="A1:N5"/>
    <mergeCell ref="O1:AZ5"/>
    <mergeCell ref="AM17:AP17"/>
    <mergeCell ref="AQ13:AU15"/>
    <mergeCell ref="AQ16:AU16"/>
    <mergeCell ref="AZ13:BA15"/>
    <mergeCell ref="K15:L15"/>
    <mergeCell ref="AM16:AP16"/>
    <mergeCell ref="BA1:BE1"/>
    <mergeCell ref="AV17:AY17"/>
    <mergeCell ref="AF17:AI17"/>
    <mergeCell ref="AJ17:AL17"/>
    <mergeCell ref="U17:V17"/>
    <mergeCell ref="AC17:AE17"/>
    <mergeCell ref="Q17:R17"/>
    <mergeCell ref="S17:T17"/>
    <mergeCell ref="W17:AB17"/>
    <mergeCell ref="A17:B17"/>
    <mergeCell ref="C17:J17"/>
    <mergeCell ref="K17:L17"/>
    <mergeCell ref="A11:BK11"/>
    <mergeCell ref="A12:BK12"/>
    <mergeCell ref="BF1:BK1"/>
    <mergeCell ref="BA2:BE2"/>
    <mergeCell ref="BF2:BK2"/>
    <mergeCell ref="BA3:BE3"/>
    <mergeCell ref="BF3:BK3"/>
    <mergeCell ref="BA4:BE4"/>
    <mergeCell ref="BF4:BK4"/>
    <mergeCell ref="AB6:AZ6"/>
    <mergeCell ref="BA5:BE5"/>
    <mergeCell ref="BF5:BK5"/>
    <mergeCell ref="BS7:BX7"/>
    <mergeCell ref="AC16:AE16"/>
    <mergeCell ref="AF16:AI16"/>
    <mergeCell ref="AJ16:AL16"/>
    <mergeCell ref="A16:B16"/>
    <mergeCell ref="C16:J16"/>
    <mergeCell ref="K16:L16"/>
    <mergeCell ref="M16:N16"/>
    <mergeCell ref="O16:P16"/>
    <mergeCell ref="S16:T16"/>
    <mergeCell ref="AC13:AE15"/>
    <mergeCell ref="AF13:AI15"/>
    <mergeCell ref="AJ13:AL15"/>
    <mergeCell ref="AM13:AP15"/>
    <mergeCell ref="K13:P14"/>
    <mergeCell ref="Q15:R15"/>
    <mergeCell ref="S15:T15"/>
    <mergeCell ref="U15:V15"/>
    <mergeCell ref="A13:B15"/>
    <mergeCell ref="C13:J15"/>
    <mergeCell ref="AK7:AU7"/>
    <mergeCell ref="AV13:AY15"/>
    <mergeCell ref="AV16:AY16"/>
    <mergeCell ref="BB13:BK15"/>
    <mergeCell ref="Q19:R19"/>
    <mergeCell ref="S19:T19"/>
    <mergeCell ref="U19:V19"/>
    <mergeCell ref="U20:V20"/>
    <mergeCell ref="AC20:AE20"/>
    <mergeCell ref="U18:V18"/>
    <mergeCell ref="A19:B19"/>
    <mergeCell ref="C19:J19"/>
    <mergeCell ref="K19:L19"/>
    <mergeCell ref="M19:N19"/>
    <mergeCell ref="O19:P19"/>
    <mergeCell ref="AC19:AE19"/>
    <mergeCell ref="AF19:AI19"/>
    <mergeCell ref="AJ19:AL19"/>
    <mergeCell ref="A18:B18"/>
    <mergeCell ref="C18:J18"/>
    <mergeCell ref="K18:L18"/>
    <mergeCell ref="M18:N18"/>
    <mergeCell ref="O18:P18"/>
    <mergeCell ref="S18:T18"/>
    <mergeCell ref="Q21:R21"/>
    <mergeCell ref="S21:T21"/>
    <mergeCell ref="U21:V21"/>
    <mergeCell ref="A21:B21"/>
    <mergeCell ref="C21:J21"/>
    <mergeCell ref="K21:L21"/>
    <mergeCell ref="M21:N21"/>
    <mergeCell ref="O21:P21"/>
    <mergeCell ref="A20:B20"/>
    <mergeCell ref="C20:J20"/>
    <mergeCell ref="K20:L20"/>
    <mergeCell ref="M20:N20"/>
    <mergeCell ref="O20:P20"/>
    <mergeCell ref="AC18:AE18"/>
    <mergeCell ref="Q20:R20"/>
    <mergeCell ref="S20:T20"/>
    <mergeCell ref="S22:T22"/>
    <mergeCell ref="Q22:R22"/>
    <mergeCell ref="A22:B22"/>
    <mergeCell ref="C22:J22"/>
    <mergeCell ref="K22:L22"/>
    <mergeCell ref="M22:N22"/>
    <mergeCell ref="O22:P22"/>
    <mergeCell ref="W21:AB21"/>
    <mergeCell ref="W22:AB22"/>
    <mergeCell ref="U22:V22"/>
    <mergeCell ref="W23:AB23"/>
    <mergeCell ref="Q23:R23"/>
    <mergeCell ref="S23:T23"/>
    <mergeCell ref="AM24:AP24"/>
    <mergeCell ref="Q24:R24"/>
    <mergeCell ref="S24:T24"/>
    <mergeCell ref="U24:V24"/>
    <mergeCell ref="A23:B23"/>
    <mergeCell ref="C23:J23"/>
    <mergeCell ref="K23:L23"/>
    <mergeCell ref="M23:N23"/>
    <mergeCell ref="O23:P23"/>
    <mergeCell ref="U23:V23"/>
    <mergeCell ref="AC23:AE23"/>
    <mergeCell ref="AF23:AI23"/>
    <mergeCell ref="AJ23:AL23"/>
    <mergeCell ref="W24:AB24"/>
    <mergeCell ref="AM23:AP23"/>
    <mergeCell ref="A24:B24"/>
    <mergeCell ref="C24:J24"/>
    <mergeCell ref="K24:L24"/>
    <mergeCell ref="M24:N24"/>
    <mergeCell ref="O24:P24"/>
    <mergeCell ref="AC24:AE24"/>
    <mergeCell ref="AF24:AI24"/>
    <mergeCell ref="AJ24:AL24"/>
    <mergeCell ref="AZ24:BA24"/>
    <mergeCell ref="AQ24:AU24"/>
    <mergeCell ref="A28:F29"/>
    <mergeCell ref="AE32:BK33"/>
    <mergeCell ref="U25:V25"/>
    <mergeCell ref="AC25:AE25"/>
    <mergeCell ref="AF25:AI25"/>
    <mergeCell ref="AJ25:AL25"/>
    <mergeCell ref="Q25:R25"/>
    <mergeCell ref="S25:T25"/>
    <mergeCell ref="A25:B25"/>
    <mergeCell ref="C25:J25"/>
    <mergeCell ref="K25:L25"/>
    <mergeCell ref="M25:N25"/>
    <mergeCell ref="O25:P25"/>
    <mergeCell ref="W25:AB25"/>
    <mergeCell ref="AQ25:AU25"/>
    <mergeCell ref="AE40:AJ40"/>
    <mergeCell ref="AK40:AS40"/>
    <mergeCell ref="AZ25:BA25"/>
    <mergeCell ref="AE43:AJ43"/>
    <mergeCell ref="AK43:AS43"/>
    <mergeCell ref="AE44:AJ44"/>
    <mergeCell ref="AK44:AS44"/>
    <mergeCell ref="AK38:AS38"/>
    <mergeCell ref="AU38:AZ38"/>
    <mergeCell ref="BA38:BJ38"/>
    <mergeCell ref="AE39:AI39"/>
    <mergeCell ref="AK39:AS39"/>
    <mergeCell ref="BA39:BJ39"/>
    <mergeCell ref="AV7:BD7"/>
    <mergeCell ref="AE35:AI35"/>
    <mergeCell ref="AK35:AS35"/>
    <mergeCell ref="AU35:AZ35"/>
    <mergeCell ref="BA35:BJ35"/>
    <mergeCell ref="AK36:AS36"/>
    <mergeCell ref="BA36:BJ36"/>
    <mergeCell ref="AM25:AP25"/>
    <mergeCell ref="BB25:BK25"/>
    <mergeCell ref="BB24:BK24"/>
    <mergeCell ref="AZ23:BA23"/>
    <mergeCell ref="AC21:AE21"/>
    <mergeCell ref="AF21:AI21"/>
    <mergeCell ref="AJ21:AL21"/>
    <mergeCell ref="AM21:AP21"/>
    <mergeCell ref="AC22:AE22"/>
    <mergeCell ref="AF22:AI22"/>
    <mergeCell ref="AJ22:AL22"/>
    <mergeCell ref="AM22:AP22"/>
    <mergeCell ref="AJ20:AL20"/>
    <mergeCell ref="AM20:AP20"/>
    <mergeCell ref="AF18:AI18"/>
    <mergeCell ref="AJ18:AL18"/>
    <mergeCell ref="AM18:AP18"/>
  </mergeCells>
  <printOptions horizontalCentered="1"/>
  <pageMargins left="0.19685039370078741" right="0.19685039370078741" top="0.19685039370078741" bottom="0.39370078740157483" header="0.19685039370078741" footer="0.19685039370078741"/>
  <pageSetup scale="65" fitToHeight="0" orientation="landscape" blackAndWhite="1" r:id="rId1"/>
  <headerFooter alignWithMargins="0">
    <oddFooter>&amp;C&amp;"Arial,Negrita"&amp;12NO CONTROLADO&amp;R&amp;8&amp;P de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DA030-E8CF-4D3D-9AAC-D2EAF339C817}">
  <sheetPr codeName="Hoja4"/>
  <dimension ref="A1:F201"/>
  <sheetViews>
    <sheetView tabSelected="1" zoomScale="70" zoomScaleNormal="70" workbookViewId="0">
      <pane ySplit="1" topLeftCell="A2" activePane="bottomLeft" state="frozen"/>
      <selection pane="bottomLeft" activeCell="K6" sqref="K6"/>
    </sheetView>
  </sheetViews>
  <sheetFormatPr baseColWidth="10" defaultRowHeight="63" customHeight="1" x14ac:dyDescent="0.2"/>
  <cols>
    <col min="1" max="1" width="12.42578125" style="135" customWidth="1"/>
    <col min="2" max="2" width="50" style="132" customWidth="1"/>
    <col min="3" max="3" width="35.85546875" style="129" customWidth="1"/>
    <col min="4" max="4" width="16.42578125" style="129" customWidth="1"/>
    <col min="5" max="5" width="11.42578125" style="125"/>
    <col min="6" max="6" width="20.28515625" style="125" customWidth="1"/>
    <col min="7" max="16384" width="11.42578125" style="125"/>
  </cols>
  <sheetData>
    <row r="1" spans="1:6" ht="63" customHeight="1" x14ac:dyDescent="0.2">
      <c r="A1" s="126" t="s">
        <v>8</v>
      </c>
      <c r="B1" s="126" t="s">
        <v>9</v>
      </c>
      <c r="C1" s="126" t="s">
        <v>195</v>
      </c>
      <c r="D1" s="126" t="s">
        <v>196</v>
      </c>
    </row>
    <row r="2" spans="1:6" ht="63" customHeight="1" x14ac:dyDescent="0.2">
      <c r="A2" s="133" t="s">
        <v>10</v>
      </c>
      <c r="B2" s="130" t="s">
        <v>550</v>
      </c>
      <c r="C2" s="127" t="s">
        <v>349</v>
      </c>
      <c r="D2" s="127" t="s">
        <v>522</v>
      </c>
      <c r="F2" s="148" t="s">
        <v>695</v>
      </c>
    </row>
    <row r="3" spans="1:6" ht="63" customHeight="1" x14ac:dyDescent="0.2">
      <c r="A3" s="133" t="s">
        <v>11</v>
      </c>
      <c r="B3" s="130" t="s">
        <v>551</v>
      </c>
      <c r="C3" s="127" t="s">
        <v>523</v>
      </c>
      <c r="D3" s="127" t="s">
        <v>524</v>
      </c>
      <c r="F3" s="149" t="s">
        <v>696</v>
      </c>
    </row>
    <row r="4" spans="1:6" ht="63" customHeight="1" x14ac:dyDescent="0.2">
      <c r="A4" s="133" t="s">
        <v>12</v>
      </c>
      <c r="B4" s="130" t="s">
        <v>668</v>
      </c>
      <c r="C4" s="127" t="s">
        <v>350</v>
      </c>
      <c r="D4" s="127"/>
      <c r="F4" s="149" t="s">
        <v>697</v>
      </c>
    </row>
    <row r="5" spans="1:6" ht="63" customHeight="1" x14ac:dyDescent="0.2">
      <c r="A5" s="133" t="s">
        <v>13</v>
      </c>
      <c r="B5" s="130" t="s">
        <v>351</v>
      </c>
      <c r="C5" s="127" t="s">
        <v>352</v>
      </c>
      <c r="D5" s="127"/>
      <c r="F5" s="150" t="s">
        <v>698</v>
      </c>
    </row>
    <row r="6" spans="1:6" ht="63" customHeight="1" x14ac:dyDescent="0.2">
      <c r="A6" s="133" t="s">
        <v>14</v>
      </c>
      <c r="B6" s="130" t="s">
        <v>552</v>
      </c>
      <c r="C6" s="127" t="s">
        <v>353</v>
      </c>
      <c r="D6" s="127" t="s">
        <v>525</v>
      </c>
      <c r="F6" s="150" t="s">
        <v>699</v>
      </c>
    </row>
    <row r="7" spans="1:6" ht="63" customHeight="1" x14ac:dyDescent="0.2">
      <c r="A7" s="133" t="s">
        <v>15</v>
      </c>
      <c r="B7" s="130" t="s">
        <v>16</v>
      </c>
      <c r="C7" s="127" t="s">
        <v>353</v>
      </c>
      <c r="D7" s="127"/>
      <c r="F7" s="150" t="s">
        <v>700</v>
      </c>
    </row>
    <row r="8" spans="1:6" ht="63" customHeight="1" x14ac:dyDescent="0.2">
      <c r="A8" s="133" t="s">
        <v>17</v>
      </c>
      <c r="B8" s="130" t="s">
        <v>354</v>
      </c>
      <c r="C8" s="127" t="s">
        <v>391</v>
      </c>
      <c r="D8" s="127"/>
      <c r="F8" s="150" t="s">
        <v>701</v>
      </c>
    </row>
    <row r="9" spans="1:6" ht="63" customHeight="1" x14ac:dyDescent="0.2">
      <c r="A9" s="133" t="s">
        <v>18</v>
      </c>
      <c r="B9" s="130" t="s">
        <v>355</v>
      </c>
      <c r="C9" s="127" t="s">
        <v>356</v>
      </c>
      <c r="D9" s="127"/>
      <c r="F9" s="150" t="s">
        <v>702</v>
      </c>
    </row>
    <row r="10" spans="1:6" ht="63" customHeight="1" x14ac:dyDescent="0.2">
      <c r="A10" s="133" t="s">
        <v>19</v>
      </c>
      <c r="B10" s="130" t="s">
        <v>671</v>
      </c>
      <c r="C10" s="127" t="s">
        <v>357</v>
      </c>
      <c r="D10" s="127"/>
      <c r="F10" s="149" t="s">
        <v>703</v>
      </c>
    </row>
    <row r="11" spans="1:6" ht="63" customHeight="1" x14ac:dyDescent="0.2">
      <c r="A11" s="133" t="s">
        <v>20</v>
      </c>
      <c r="B11" s="130" t="s">
        <v>672</v>
      </c>
      <c r="C11" s="127" t="s">
        <v>357</v>
      </c>
      <c r="D11" s="127"/>
      <c r="F11" s="150" t="s">
        <v>704</v>
      </c>
    </row>
    <row r="12" spans="1:6" ht="63" customHeight="1" x14ac:dyDescent="0.2">
      <c r="A12" s="133" t="s">
        <v>21</v>
      </c>
      <c r="B12" s="130" t="s">
        <v>673</v>
      </c>
      <c r="C12" s="127" t="s">
        <v>358</v>
      </c>
      <c r="D12" s="127" t="s">
        <v>526</v>
      </c>
      <c r="F12" s="150" t="s">
        <v>705</v>
      </c>
    </row>
    <row r="13" spans="1:6" ht="63" customHeight="1" x14ac:dyDescent="0.2">
      <c r="A13" s="133" t="s">
        <v>22</v>
      </c>
      <c r="B13" s="130" t="s">
        <v>674</v>
      </c>
      <c r="C13" s="127" t="s">
        <v>359</v>
      </c>
      <c r="D13" s="127"/>
      <c r="F13" s="149" t="s">
        <v>706</v>
      </c>
    </row>
    <row r="14" spans="1:6" ht="63" customHeight="1" x14ac:dyDescent="0.2">
      <c r="A14" s="133" t="s">
        <v>23</v>
      </c>
      <c r="B14" s="130" t="s">
        <v>360</v>
      </c>
      <c r="C14" s="127" t="s">
        <v>24</v>
      </c>
      <c r="D14" s="127"/>
      <c r="F14" s="149" t="s">
        <v>707</v>
      </c>
    </row>
    <row r="15" spans="1:6" ht="63" customHeight="1" x14ac:dyDescent="0.2">
      <c r="A15" s="133" t="s">
        <v>25</v>
      </c>
      <c r="B15" s="130" t="s">
        <v>675</v>
      </c>
      <c r="C15" s="127" t="s">
        <v>361</v>
      </c>
      <c r="D15" s="127"/>
      <c r="F15" s="149" t="s">
        <v>708</v>
      </c>
    </row>
    <row r="16" spans="1:6" ht="63" customHeight="1" x14ac:dyDescent="0.2">
      <c r="A16" s="133" t="s">
        <v>26</v>
      </c>
      <c r="B16" s="130" t="s">
        <v>676</v>
      </c>
      <c r="C16" s="127" t="s">
        <v>361</v>
      </c>
      <c r="D16" s="127"/>
      <c r="F16" s="149" t="s">
        <v>709</v>
      </c>
    </row>
    <row r="17" spans="1:6" ht="63" customHeight="1" x14ac:dyDescent="0.2">
      <c r="A17" s="133" t="s">
        <v>27</v>
      </c>
      <c r="B17" s="130" t="s">
        <v>677</v>
      </c>
      <c r="C17" s="127" t="s">
        <v>361</v>
      </c>
      <c r="D17" s="127"/>
      <c r="F17" s="150" t="s">
        <v>710</v>
      </c>
    </row>
    <row r="18" spans="1:6" ht="63" customHeight="1" x14ac:dyDescent="0.2">
      <c r="A18" s="133" t="s">
        <v>28</v>
      </c>
      <c r="B18" s="130" t="s">
        <v>678</v>
      </c>
      <c r="C18" s="127" t="s">
        <v>361</v>
      </c>
      <c r="D18" s="127"/>
    </row>
    <row r="19" spans="1:6" ht="63" customHeight="1" x14ac:dyDescent="0.2">
      <c r="A19" s="133" t="s">
        <v>29</v>
      </c>
      <c r="B19" s="130" t="s">
        <v>362</v>
      </c>
      <c r="C19" s="127" t="s">
        <v>363</v>
      </c>
      <c r="D19" s="127"/>
    </row>
    <row r="20" spans="1:6" ht="63" customHeight="1" x14ac:dyDescent="0.2">
      <c r="A20" s="133" t="s">
        <v>30</v>
      </c>
      <c r="B20" s="130" t="s">
        <v>364</v>
      </c>
      <c r="C20" s="127" t="s">
        <v>365</v>
      </c>
      <c r="D20" s="127"/>
    </row>
    <row r="21" spans="1:6" ht="63" customHeight="1" x14ac:dyDescent="0.2">
      <c r="A21" s="133" t="s">
        <v>31</v>
      </c>
      <c r="B21" s="130" t="s">
        <v>366</v>
      </c>
      <c r="C21" s="127" t="s">
        <v>392</v>
      </c>
      <c r="D21" s="127"/>
    </row>
    <row r="22" spans="1:6" ht="63" customHeight="1" x14ac:dyDescent="0.2">
      <c r="A22" s="133" t="s">
        <v>32</v>
      </c>
      <c r="B22" s="130" t="s">
        <v>367</v>
      </c>
      <c r="C22" s="128" t="s">
        <v>393</v>
      </c>
      <c r="D22" s="127"/>
    </row>
    <row r="23" spans="1:6" ht="63" customHeight="1" x14ac:dyDescent="0.2">
      <c r="A23" s="133" t="s">
        <v>33</v>
      </c>
      <c r="B23" s="130" t="s">
        <v>553</v>
      </c>
      <c r="C23" s="143" t="s">
        <v>669</v>
      </c>
      <c r="D23" s="128"/>
    </row>
    <row r="24" spans="1:6" ht="63" customHeight="1" x14ac:dyDescent="0.2">
      <c r="A24" s="133" t="s">
        <v>34</v>
      </c>
      <c r="B24" s="130" t="s">
        <v>554</v>
      </c>
      <c r="C24" s="127" t="s">
        <v>670</v>
      </c>
      <c r="D24" s="127"/>
    </row>
    <row r="25" spans="1:6" ht="63" customHeight="1" x14ac:dyDescent="0.2">
      <c r="A25" s="133" t="s">
        <v>35</v>
      </c>
      <c r="B25" s="130" t="s">
        <v>368</v>
      </c>
      <c r="C25" s="127" t="s">
        <v>369</v>
      </c>
      <c r="D25" s="127"/>
    </row>
    <row r="26" spans="1:6" ht="63" customHeight="1" x14ac:dyDescent="0.2">
      <c r="A26" s="133" t="s">
        <v>36</v>
      </c>
      <c r="B26" s="130" t="s">
        <v>37</v>
      </c>
      <c r="C26" s="127" t="s">
        <v>370</v>
      </c>
      <c r="D26" s="127"/>
    </row>
    <row r="27" spans="1:6" ht="63" customHeight="1" x14ac:dyDescent="0.2">
      <c r="A27" s="133" t="s">
        <v>38</v>
      </c>
      <c r="B27" s="130" t="s">
        <v>680</v>
      </c>
      <c r="C27" s="127" t="s">
        <v>394</v>
      </c>
      <c r="D27" s="127"/>
    </row>
    <row r="28" spans="1:6" ht="63" customHeight="1" x14ac:dyDescent="0.2">
      <c r="A28" s="133" t="s">
        <v>39</v>
      </c>
      <c r="B28" s="130" t="s">
        <v>681</v>
      </c>
      <c r="C28" s="127" t="s">
        <v>394</v>
      </c>
      <c r="D28" s="127"/>
    </row>
    <row r="29" spans="1:6" ht="63" customHeight="1" x14ac:dyDescent="0.2">
      <c r="A29" s="133" t="s">
        <v>40</v>
      </c>
      <c r="B29" s="130" t="s">
        <v>555</v>
      </c>
      <c r="C29" s="127" t="s">
        <v>24</v>
      </c>
      <c r="D29" s="127"/>
    </row>
    <row r="30" spans="1:6" ht="63" customHeight="1" x14ac:dyDescent="0.2">
      <c r="A30" s="133" t="s">
        <v>41</v>
      </c>
      <c r="B30" s="130" t="s">
        <v>567</v>
      </c>
      <c r="C30" s="127" t="s">
        <v>371</v>
      </c>
      <c r="D30" s="127" t="s">
        <v>549</v>
      </c>
    </row>
    <row r="31" spans="1:6" ht="63" customHeight="1" x14ac:dyDescent="0.2">
      <c r="A31" s="133" t="s">
        <v>42</v>
      </c>
      <c r="B31" s="130" t="s">
        <v>372</v>
      </c>
      <c r="C31" s="127" t="s">
        <v>371</v>
      </c>
      <c r="D31" s="127"/>
    </row>
    <row r="32" spans="1:6" ht="63" customHeight="1" x14ac:dyDescent="0.2">
      <c r="A32" s="133" t="s">
        <v>43</v>
      </c>
      <c r="B32" s="130" t="s">
        <v>373</v>
      </c>
      <c r="C32" s="127" t="s">
        <v>374</v>
      </c>
      <c r="D32" s="127"/>
    </row>
    <row r="33" spans="1:4" ht="63" customHeight="1" x14ac:dyDescent="0.2">
      <c r="A33" s="133" t="s">
        <v>44</v>
      </c>
      <c r="B33" s="130" t="s">
        <v>568</v>
      </c>
      <c r="C33" s="127" t="s">
        <v>375</v>
      </c>
      <c r="D33" s="127"/>
    </row>
    <row r="34" spans="1:4" ht="63" customHeight="1" x14ac:dyDescent="0.2">
      <c r="A34" s="133" t="s">
        <v>45</v>
      </c>
      <c r="B34" s="130" t="s">
        <v>679</v>
      </c>
      <c r="C34" s="127" t="s">
        <v>375</v>
      </c>
      <c r="D34" s="127"/>
    </row>
    <row r="35" spans="1:4" ht="63" customHeight="1" x14ac:dyDescent="0.2">
      <c r="A35" s="133" t="s">
        <v>46</v>
      </c>
      <c r="B35" s="130" t="s">
        <v>569</v>
      </c>
      <c r="C35" s="127" t="s">
        <v>375</v>
      </c>
      <c r="D35" s="127"/>
    </row>
    <row r="36" spans="1:4" ht="63" customHeight="1" x14ac:dyDescent="0.2">
      <c r="A36" s="133" t="s">
        <v>47</v>
      </c>
      <c r="B36" s="130" t="s">
        <v>570</v>
      </c>
      <c r="C36" s="127" t="s">
        <v>375</v>
      </c>
      <c r="D36" s="127"/>
    </row>
    <row r="37" spans="1:4" ht="63" customHeight="1" x14ac:dyDescent="0.2">
      <c r="A37" s="133" t="s">
        <v>48</v>
      </c>
      <c r="B37" s="130" t="s">
        <v>571</v>
      </c>
      <c r="C37" s="127" t="s">
        <v>376</v>
      </c>
      <c r="D37" s="127"/>
    </row>
    <row r="38" spans="1:4" ht="63" customHeight="1" x14ac:dyDescent="0.2">
      <c r="A38" s="133" t="s">
        <v>49</v>
      </c>
      <c r="B38" s="130" t="s">
        <v>572</v>
      </c>
      <c r="C38" s="127" t="s">
        <v>376</v>
      </c>
      <c r="D38" s="127"/>
    </row>
    <row r="39" spans="1:4" ht="63" customHeight="1" x14ac:dyDescent="0.2">
      <c r="A39" s="133" t="s">
        <v>50</v>
      </c>
      <c r="B39" s="130" t="s">
        <v>573</v>
      </c>
      <c r="C39" s="127" t="s">
        <v>377</v>
      </c>
      <c r="D39" s="127"/>
    </row>
    <row r="40" spans="1:4" ht="63" customHeight="1" x14ac:dyDescent="0.2">
      <c r="A40" s="133" t="s">
        <v>51</v>
      </c>
      <c r="B40" s="130" t="s">
        <v>574</v>
      </c>
      <c r="C40" s="127" t="s">
        <v>376</v>
      </c>
      <c r="D40" s="127"/>
    </row>
    <row r="41" spans="1:4" ht="63" customHeight="1" x14ac:dyDescent="0.2">
      <c r="A41" s="133" t="s">
        <v>52</v>
      </c>
      <c r="B41" s="130" t="s">
        <v>378</v>
      </c>
      <c r="C41" s="127" t="s">
        <v>24</v>
      </c>
      <c r="D41" s="127"/>
    </row>
    <row r="42" spans="1:4" ht="63" customHeight="1" x14ac:dyDescent="0.2">
      <c r="A42" s="133" t="s">
        <v>53</v>
      </c>
      <c r="B42" s="130" t="s">
        <v>575</v>
      </c>
      <c r="C42" s="127" t="s">
        <v>379</v>
      </c>
      <c r="D42" s="127"/>
    </row>
    <row r="43" spans="1:4" ht="63" customHeight="1" x14ac:dyDescent="0.2">
      <c r="A43" s="133" t="s">
        <v>54</v>
      </c>
      <c r="B43" s="130" t="s">
        <v>380</v>
      </c>
      <c r="C43" s="127" t="s">
        <v>24</v>
      </c>
      <c r="D43" s="127"/>
    </row>
    <row r="44" spans="1:4" ht="63" customHeight="1" x14ac:dyDescent="0.2">
      <c r="A44" s="133" t="s">
        <v>55</v>
      </c>
      <c r="B44" s="130" t="s">
        <v>381</v>
      </c>
      <c r="C44" s="127" t="s">
        <v>382</v>
      </c>
      <c r="D44" s="127"/>
    </row>
    <row r="45" spans="1:4" ht="63" customHeight="1" x14ac:dyDescent="0.2">
      <c r="A45" s="133" t="s">
        <v>56</v>
      </c>
      <c r="B45" s="130" t="s">
        <v>576</v>
      </c>
      <c r="C45" s="127" t="s">
        <v>383</v>
      </c>
      <c r="D45" s="127"/>
    </row>
    <row r="46" spans="1:4" ht="63" customHeight="1" x14ac:dyDescent="0.2">
      <c r="A46" s="133" t="s">
        <v>57</v>
      </c>
      <c r="B46" s="130" t="s">
        <v>577</v>
      </c>
      <c r="C46" s="127" t="s">
        <v>383</v>
      </c>
      <c r="D46" s="127"/>
    </row>
    <row r="47" spans="1:4" ht="63" customHeight="1" x14ac:dyDescent="0.2">
      <c r="A47" s="144" t="s">
        <v>682</v>
      </c>
      <c r="B47" s="130" t="s">
        <v>384</v>
      </c>
      <c r="C47" s="127" t="s">
        <v>395</v>
      </c>
      <c r="D47" s="127"/>
    </row>
    <row r="48" spans="1:4" ht="63" customHeight="1" x14ac:dyDescent="0.2">
      <c r="A48" s="144" t="s">
        <v>657</v>
      </c>
      <c r="B48" s="130" t="s">
        <v>556</v>
      </c>
      <c r="C48" s="127" t="s">
        <v>396</v>
      </c>
      <c r="D48" s="127"/>
    </row>
    <row r="49" spans="1:4" ht="63" customHeight="1" x14ac:dyDescent="0.2">
      <c r="A49" s="133" t="s">
        <v>58</v>
      </c>
      <c r="B49" s="130" t="s">
        <v>397</v>
      </c>
      <c r="C49" s="127" t="s">
        <v>385</v>
      </c>
      <c r="D49" s="127"/>
    </row>
    <row r="50" spans="1:4" ht="63" customHeight="1" x14ac:dyDescent="0.2">
      <c r="A50" s="133" t="s">
        <v>59</v>
      </c>
      <c r="B50" s="130" t="s">
        <v>386</v>
      </c>
      <c r="C50" s="127" t="s">
        <v>398</v>
      </c>
      <c r="D50" s="127"/>
    </row>
    <row r="51" spans="1:4" ht="63" customHeight="1" x14ac:dyDescent="0.2">
      <c r="A51" s="133" t="s">
        <v>60</v>
      </c>
      <c r="B51" s="130" t="s">
        <v>387</v>
      </c>
      <c r="C51" s="127" t="s">
        <v>399</v>
      </c>
      <c r="D51" s="127"/>
    </row>
    <row r="52" spans="1:4" ht="63" customHeight="1" x14ac:dyDescent="0.2">
      <c r="A52" s="133" t="s">
        <v>61</v>
      </c>
      <c r="B52" s="130" t="s">
        <v>400</v>
      </c>
      <c r="C52" s="127" t="s">
        <v>401</v>
      </c>
      <c r="D52" s="127"/>
    </row>
    <row r="53" spans="1:4" ht="63" customHeight="1" x14ac:dyDescent="0.2">
      <c r="A53" s="133" t="s">
        <v>62</v>
      </c>
      <c r="B53" s="130" t="s">
        <v>388</v>
      </c>
      <c r="C53" s="127" t="s">
        <v>385</v>
      </c>
      <c r="D53" s="127"/>
    </row>
    <row r="54" spans="1:4" ht="63" customHeight="1" x14ac:dyDescent="0.2">
      <c r="A54" s="133" t="s">
        <v>63</v>
      </c>
      <c r="B54" s="130" t="s">
        <v>557</v>
      </c>
      <c r="C54" s="127" t="s">
        <v>24</v>
      </c>
      <c r="D54" s="127"/>
    </row>
    <row r="55" spans="1:4" ht="63" customHeight="1" x14ac:dyDescent="0.2">
      <c r="A55" s="126" t="s">
        <v>650</v>
      </c>
      <c r="B55" s="130" t="s">
        <v>558</v>
      </c>
      <c r="C55" s="127" t="s">
        <v>634</v>
      </c>
      <c r="D55" s="127"/>
    </row>
    <row r="56" spans="1:4" ht="63" customHeight="1" x14ac:dyDescent="0.2">
      <c r="A56" s="144" t="s">
        <v>651</v>
      </c>
      <c r="B56" s="130" t="s">
        <v>559</v>
      </c>
      <c r="C56" s="127" t="s">
        <v>635</v>
      </c>
      <c r="D56" s="127"/>
    </row>
    <row r="57" spans="1:4" ht="63" customHeight="1" x14ac:dyDescent="0.2">
      <c r="A57" s="144" t="s">
        <v>652</v>
      </c>
      <c r="B57" s="130" t="s">
        <v>560</v>
      </c>
      <c r="C57" s="127" t="s">
        <v>636</v>
      </c>
      <c r="D57" s="127"/>
    </row>
    <row r="58" spans="1:4" ht="63" customHeight="1" x14ac:dyDescent="0.2">
      <c r="A58" s="144" t="s">
        <v>653</v>
      </c>
      <c r="B58" s="130" t="s">
        <v>561</v>
      </c>
      <c r="C58" s="127" t="s">
        <v>637</v>
      </c>
      <c r="D58" s="127"/>
    </row>
    <row r="59" spans="1:4" ht="63" customHeight="1" x14ac:dyDescent="0.2">
      <c r="A59" s="144" t="s">
        <v>654</v>
      </c>
      <c r="B59" s="130" t="s">
        <v>562</v>
      </c>
      <c r="C59" s="127" t="s">
        <v>638</v>
      </c>
      <c r="D59" s="127"/>
    </row>
    <row r="60" spans="1:4" ht="63" customHeight="1" x14ac:dyDescent="0.2">
      <c r="A60" s="144" t="s">
        <v>655</v>
      </c>
      <c r="B60" s="130" t="s">
        <v>563</v>
      </c>
      <c r="C60" s="127" t="s">
        <v>639</v>
      </c>
      <c r="D60" s="127"/>
    </row>
    <row r="61" spans="1:4" ht="63" customHeight="1" x14ac:dyDescent="0.2">
      <c r="A61" s="144" t="s">
        <v>656</v>
      </c>
      <c r="B61" s="130" t="s">
        <v>564</v>
      </c>
      <c r="C61" s="127" t="s">
        <v>683</v>
      </c>
      <c r="D61" s="127" t="s">
        <v>684</v>
      </c>
    </row>
    <row r="62" spans="1:4" ht="63" customHeight="1" x14ac:dyDescent="0.2">
      <c r="A62" s="133" t="s">
        <v>64</v>
      </c>
      <c r="B62" s="130" t="s">
        <v>65</v>
      </c>
      <c r="C62" s="127" t="s">
        <v>24</v>
      </c>
      <c r="D62" s="127"/>
    </row>
    <row r="63" spans="1:4" ht="63" customHeight="1" x14ac:dyDescent="0.2">
      <c r="A63" s="133" t="s">
        <v>66</v>
      </c>
      <c r="B63" s="130" t="s">
        <v>389</v>
      </c>
      <c r="C63" s="127" t="s">
        <v>24</v>
      </c>
      <c r="D63" s="127"/>
    </row>
    <row r="64" spans="1:4" ht="63" customHeight="1" x14ac:dyDescent="0.2">
      <c r="A64" s="133" t="s">
        <v>565</v>
      </c>
      <c r="B64" s="130" t="s">
        <v>390</v>
      </c>
      <c r="C64" s="127" t="s">
        <v>24</v>
      </c>
      <c r="D64" s="127"/>
    </row>
    <row r="65" spans="1:4" ht="63" customHeight="1" x14ac:dyDescent="0.2">
      <c r="A65" s="144" t="s">
        <v>658</v>
      </c>
      <c r="B65" s="130" t="s">
        <v>566</v>
      </c>
      <c r="C65" s="127" t="s">
        <v>640</v>
      </c>
      <c r="D65" s="127"/>
    </row>
    <row r="66" spans="1:4" ht="63" customHeight="1" x14ac:dyDescent="0.2">
      <c r="A66" s="144" t="s">
        <v>726</v>
      </c>
      <c r="B66" s="130" t="s">
        <v>727</v>
      </c>
      <c r="C66" s="127" t="s">
        <v>728</v>
      </c>
      <c r="D66" s="127"/>
    </row>
    <row r="67" spans="1:4" ht="63" customHeight="1" x14ac:dyDescent="0.2">
      <c r="A67" s="133" t="s">
        <v>67</v>
      </c>
      <c r="B67" s="130" t="s">
        <v>402</v>
      </c>
      <c r="C67" s="127" t="s">
        <v>403</v>
      </c>
      <c r="D67" s="127"/>
    </row>
    <row r="68" spans="1:4" ht="63" customHeight="1" x14ac:dyDescent="0.2">
      <c r="A68" s="133" t="s">
        <v>68</v>
      </c>
      <c r="B68" s="130" t="s">
        <v>578</v>
      </c>
      <c r="C68" s="127" t="s">
        <v>404</v>
      </c>
      <c r="D68" s="127"/>
    </row>
    <row r="69" spans="1:4" ht="63" customHeight="1" x14ac:dyDescent="0.2">
      <c r="A69" s="133" t="s">
        <v>69</v>
      </c>
      <c r="B69" s="130" t="s">
        <v>405</v>
      </c>
      <c r="C69" s="127" t="s">
        <v>406</v>
      </c>
      <c r="D69" s="127"/>
    </row>
    <row r="70" spans="1:4" ht="63" customHeight="1" x14ac:dyDescent="0.2">
      <c r="A70" s="133" t="s">
        <v>70</v>
      </c>
      <c r="B70" s="130" t="s">
        <v>407</v>
      </c>
      <c r="C70" s="127" t="s">
        <v>408</v>
      </c>
      <c r="D70" s="127"/>
    </row>
    <row r="71" spans="1:4" ht="63" customHeight="1" x14ac:dyDescent="0.2">
      <c r="A71" s="133" t="s">
        <v>71</v>
      </c>
      <c r="B71" s="130" t="s">
        <v>409</v>
      </c>
      <c r="C71" s="127" t="s">
        <v>410</v>
      </c>
      <c r="D71" s="127"/>
    </row>
    <row r="72" spans="1:4" ht="63" customHeight="1" x14ac:dyDescent="0.2">
      <c r="A72" s="133" t="s">
        <v>72</v>
      </c>
      <c r="B72" s="130" t="s">
        <v>580</v>
      </c>
      <c r="C72" s="127" t="s">
        <v>411</v>
      </c>
      <c r="D72" s="127"/>
    </row>
    <row r="73" spans="1:4" ht="63" customHeight="1" x14ac:dyDescent="0.2">
      <c r="A73" s="133" t="s">
        <v>73</v>
      </c>
      <c r="B73" s="130" t="s">
        <v>581</v>
      </c>
      <c r="C73" s="127" t="s">
        <v>412</v>
      </c>
      <c r="D73" s="127"/>
    </row>
    <row r="74" spans="1:4" ht="63" customHeight="1" x14ac:dyDescent="0.2">
      <c r="A74" s="133" t="s">
        <v>74</v>
      </c>
      <c r="B74" s="130" t="s">
        <v>582</v>
      </c>
      <c r="C74" s="127" t="s">
        <v>643</v>
      </c>
      <c r="D74" s="127" t="s">
        <v>541</v>
      </c>
    </row>
    <row r="75" spans="1:4" ht="63" customHeight="1" x14ac:dyDescent="0.2">
      <c r="A75" s="133" t="s">
        <v>75</v>
      </c>
      <c r="B75" s="130" t="s">
        <v>583</v>
      </c>
      <c r="C75" s="127" t="s">
        <v>539</v>
      </c>
      <c r="D75" s="127" t="s">
        <v>542</v>
      </c>
    </row>
    <row r="76" spans="1:4" ht="63" customHeight="1" x14ac:dyDescent="0.2">
      <c r="A76" s="133" t="s">
        <v>76</v>
      </c>
      <c r="B76" s="130" t="s">
        <v>579</v>
      </c>
      <c r="C76" s="127" t="s">
        <v>540</v>
      </c>
      <c r="D76" s="127"/>
    </row>
    <row r="77" spans="1:4" ht="63" customHeight="1" x14ac:dyDescent="0.2">
      <c r="A77" s="133" t="s">
        <v>77</v>
      </c>
      <c r="B77" s="130" t="s">
        <v>584</v>
      </c>
      <c r="C77" s="127" t="s">
        <v>413</v>
      </c>
      <c r="D77" s="127"/>
    </row>
    <row r="78" spans="1:4" ht="63" customHeight="1" x14ac:dyDescent="0.2">
      <c r="A78" s="133" t="s">
        <v>78</v>
      </c>
      <c r="B78" s="130" t="s">
        <v>415</v>
      </c>
      <c r="C78" s="127" t="s">
        <v>414</v>
      </c>
      <c r="D78" s="127"/>
    </row>
    <row r="79" spans="1:4" ht="63" customHeight="1" x14ac:dyDescent="0.2">
      <c r="A79" s="133" t="s">
        <v>79</v>
      </c>
      <c r="B79" s="130" t="s">
        <v>415</v>
      </c>
      <c r="C79" s="127" t="s">
        <v>416</v>
      </c>
      <c r="D79" s="127"/>
    </row>
    <row r="80" spans="1:4" ht="63" customHeight="1" x14ac:dyDescent="0.2">
      <c r="A80" s="133" t="s">
        <v>80</v>
      </c>
      <c r="B80" s="130" t="s">
        <v>585</v>
      </c>
      <c r="C80" s="127" t="s">
        <v>417</v>
      </c>
      <c r="D80" s="127"/>
    </row>
    <row r="81" spans="1:4" ht="63" customHeight="1" x14ac:dyDescent="0.2">
      <c r="A81" s="133" t="s">
        <v>81</v>
      </c>
      <c r="B81" s="130" t="s">
        <v>418</v>
      </c>
      <c r="C81" s="127" t="s">
        <v>419</v>
      </c>
      <c r="D81" s="127"/>
    </row>
    <row r="82" spans="1:4" ht="63" customHeight="1" x14ac:dyDescent="0.2">
      <c r="A82" s="133" t="s">
        <v>82</v>
      </c>
      <c r="B82" s="130" t="s">
        <v>420</v>
      </c>
      <c r="C82" s="127" t="s">
        <v>421</v>
      </c>
      <c r="D82" s="127"/>
    </row>
    <row r="83" spans="1:4" ht="63" customHeight="1" x14ac:dyDescent="0.2">
      <c r="A83" s="133" t="s">
        <v>83</v>
      </c>
      <c r="B83" s="130" t="s">
        <v>422</v>
      </c>
      <c r="C83" s="127" t="s">
        <v>528</v>
      </c>
      <c r="D83" s="127" t="s">
        <v>527</v>
      </c>
    </row>
    <row r="84" spans="1:4" ht="63" customHeight="1" x14ac:dyDescent="0.2">
      <c r="A84" s="133" t="s">
        <v>84</v>
      </c>
      <c r="B84" s="130" t="s">
        <v>423</v>
      </c>
      <c r="C84" s="127" t="s">
        <v>424</v>
      </c>
      <c r="D84" s="127"/>
    </row>
    <row r="85" spans="1:4" ht="63" customHeight="1" x14ac:dyDescent="0.2">
      <c r="A85" s="133" t="s">
        <v>85</v>
      </c>
      <c r="B85" s="130" t="s">
        <v>425</v>
      </c>
      <c r="C85" s="127" t="s">
        <v>424</v>
      </c>
      <c r="D85" s="127"/>
    </row>
    <row r="86" spans="1:4" ht="63" customHeight="1" x14ac:dyDescent="0.2">
      <c r="A86" s="133" t="s">
        <v>86</v>
      </c>
      <c r="B86" s="130" t="s">
        <v>87</v>
      </c>
      <c r="C86" s="127" t="s">
        <v>426</v>
      </c>
      <c r="D86" s="127"/>
    </row>
    <row r="87" spans="1:4" ht="63" customHeight="1" x14ac:dyDescent="0.2">
      <c r="A87" s="133" t="s">
        <v>88</v>
      </c>
      <c r="B87" s="130" t="s">
        <v>586</v>
      </c>
      <c r="C87" s="127" t="s">
        <v>641</v>
      </c>
      <c r="D87" s="127" t="s">
        <v>642</v>
      </c>
    </row>
    <row r="88" spans="1:4" ht="63" customHeight="1" x14ac:dyDescent="0.2">
      <c r="A88" s="133" t="s">
        <v>427</v>
      </c>
      <c r="B88" s="130" t="s">
        <v>587</v>
      </c>
      <c r="C88" s="127" t="s">
        <v>641</v>
      </c>
      <c r="D88" s="127" t="s">
        <v>642</v>
      </c>
    </row>
    <row r="89" spans="1:4" ht="63" customHeight="1" x14ac:dyDescent="0.2">
      <c r="A89" s="133" t="s">
        <v>89</v>
      </c>
      <c r="B89" s="130" t="s">
        <v>428</v>
      </c>
      <c r="C89" s="127" t="s">
        <v>429</v>
      </c>
      <c r="D89" s="127"/>
    </row>
    <row r="90" spans="1:4" ht="63" customHeight="1" x14ac:dyDescent="0.2">
      <c r="A90" s="133" t="s">
        <v>90</v>
      </c>
      <c r="B90" s="130" t="s">
        <v>430</v>
      </c>
      <c r="C90" s="127" t="s">
        <v>24</v>
      </c>
      <c r="D90" s="127"/>
    </row>
    <row r="91" spans="1:4" ht="63" customHeight="1" x14ac:dyDescent="0.2">
      <c r="A91" s="133" t="s">
        <v>91</v>
      </c>
      <c r="B91" s="130" t="s">
        <v>431</v>
      </c>
      <c r="C91" s="127" t="s">
        <v>24</v>
      </c>
      <c r="D91" s="127"/>
    </row>
    <row r="92" spans="1:4" ht="63" customHeight="1" x14ac:dyDescent="0.2">
      <c r="A92" s="133" t="s">
        <v>92</v>
      </c>
      <c r="B92" s="130" t="s">
        <v>432</v>
      </c>
      <c r="C92" s="127" t="s">
        <v>24</v>
      </c>
      <c r="D92" s="127"/>
    </row>
    <row r="93" spans="1:4" ht="63" customHeight="1" x14ac:dyDescent="0.2">
      <c r="A93" s="133" t="s">
        <v>93</v>
      </c>
      <c r="B93" s="130" t="s">
        <v>94</v>
      </c>
      <c r="C93" s="127" t="s">
        <v>433</v>
      </c>
      <c r="D93" s="127"/>
    </row>
    <row r="94" spans="1:4" ht="63" customHeight="1" x14ac:dyDescent="0.2">
      <c r="A94" s="134" t="s">
        <v>95</v>
      </c>
      <c r="B94" s="130" t="s">
        <v>434</v>
      </c>
      <c r="C94" s="127" t="s">
        <v>435</v>
      </c>
      <c r="D94" s="127"/>
    </row>
    <row r="95" spans="1:4" ht="63" customHeight="1" x14ac:dyDescent="0.2">
      <c r="A95" s="146" t="s">
        <v>661</v>
      </c>
      <c r="B95" s="145" t="s">
        <v>659</v>
      </c>
      <c r="C95" s="127" t="s">
        <v>660</v>
      </c>
      <c r="D95" s="127"/>
    </row>
    <row r="96" spans="1:4" ht="63" customHeight="1" x14ac:dyDescent="0.2">
      <c r="A96" s="146" t="s">
        <v>662</v>
      </c>
      <c r="B96" s="145" t="s">
        <v>694</v>
      </c>
      <c r="C96" s="127" t="s">
        <v>663</v>
      </c>
      <c r="D96" s="127"/>
    </row>
    <row r="97" spans="1:4" ht="63" customHeight="1" x14ac:dyDescent="0.2">
      <c r="A97" s="146" t="s">
        <v>665</v>
      </c>
      <c r="B97" s="145" t="s">
        <v>666</v>
      </c>
      <c r="C97" s="127" t="s">
        <v>667</v>
      </c>
      <c r="D97" s="127"/>
    </row>
    <row r="98" spans="1:4" ht="63" customHeight="1" x14ac:dyDescent="0.2">
      <c r="A98" s="146" t="s">
        <v>711</v>
      </c>
      <c r="B98" s="145" t="s">
        <v>712</v>
      </c>
      <c r="C98" s="127" t="s">
        <v>713</v>
      </c>
      <c r="D98" s="127"/>
    </row>
    <row r="99" spans="1:4" ht="63" customHeight="1" x14ac:dyDescent="0.2">
      <c r="A99" s="146" t="s">
        <v>729</v>
      </c>
      <c r="B99" s="145" t="s">
        <v>730</v>
      </c>
      <c r="C99" s="127" t="s">
        <v>731</v>
      </c>
      <c r="D99" s="127"/>
    </row>
    <row r="100" spans="1:4" ht="63" customHeight="1" x14ac:dyDescent="0.2">
      <c r="A100" s="134" t="s">
        <v>96</v>
      </c>
      <c r="B100" s="130" t="s">
        <v>588</v>
      </c>
      <c r="C100" s="127" t="s">
        <v>436</v>
      </c>
      <c r="D100" s="127"/>
    </row>
    <row r="101" spans="1:4" ht="63" customHeight="1" x14ac:dyDescent="0.2">
      <c r="A101" s="134" t="s">
        <v>97</v>
      </c>
      <c r="B101" s="130" t="s">
        <v>598</v>
      </c>
      <c r="C101" s="127" t="s">
        <v>437</v>
      </c>
      <c r="D101" s="127"/>
    </row>
    <row r="102" spans="1:4" ht="63" customHeight="1" x14ac:dyDescent="0.2">
      <c r="A102" s="134" t="s">
        <v>98</v>
      </c>
      <c r="B102" s="130" t="s">
        <v>589</v>
      </c>
      <c r="C102" s="127" t="s">
        <v>436</v>
      </c>
      <c r="D102" s="127"/>
    </row>
    <row r="103" spans="1:4" ht="63" customHeight="1" x14ac:dyDescent="0.2">
      <c r="A103" s="134" t="s">
        <v>99</v>
      </c>
      <c r="B103" s="130" t="s">
        <v>590</v>
      </c>
      <c r="C103" s="127" t="s">
        <v>436</v>
      </c>
      <c r="D103" s="127"/>
    </row>
    <row r="104" spans="1:4" ht="63" customHeight="1" x14ac:dyDescent="0.2">
      <c r="A104" s="134" t="s">
        <v>100</v>
      </c>
      <c r="B104" s="130" t="s">
        <v>591</v>
      </c>
      <c r="C104" s="127" t="s">
        <v>436</v>
      </c>
      <c r="D104" s="127"/>
    </row>
    <row r="105" spans="1:4" ht="63" customHeight="1" x14ac:dyDescent="0.2">
      <c r="A105" s="134" t="s">
        <v>101</v>
      </c>
      <c r="B105" s="130" t="s">
        <v>599</v>
      </c>
      <c r="C105" s="127" t="s">
        <v>644</v>
      </c>
      <c r="D105" s="127"/>
    </row>
    <row r="106" spans="1:4" ht="63" customHeight="1" x14ac:dyDescent="0.2">
      <c r="A106" s="134" t="s">
        <v>102</v>
      </c>
      <c r="B106" s="130" t="s">
        <v>438</v>
      </c>
      <c r="C106" s="127" t="s">
        <v>439</v>
      </c>
      <c r="D106" s="127"/>
    </row>
    <row r="107" spans="1:4" ht="63" customHeight="1" x14ac:dyDescent="0.2">
      <c r="A107" s="134" t="s">
        <v>103</v>
      </c>
      <c r="B107" s="130" t="s">
        <v>440</v>
      </c>
      <c r="C107" s="127" t="s">
        <v>24</v>
      </c>
      <c r="D107" s="127"/>
    </row>
    <row r="108" spans="1:4" ht="63" customHeight="1" x14ac:dyDescent="0.2">
      <c r="A108" s="134" t="s">
        <v>104</v>
      </c>
      <c r="B108" s="130" t="s">
        <v>441</v>
      </c>
      <c r="C108" s="127" t="s">
        <v>442</v>
      </c>
      <c r="D108" s="127"/>
    </row>
    <row r="109" spans="1:4" ht="63" customHeight="1" x14ac:dyDescent="0.2">
      <c r="A109" s="134" t="s">
        <v>105</v>
      </c>
      <c r="B109" s="130" t="s">
        <v>592</v>
      </c>
      <c r="C109" s="127" t="s">
        <v>443</v>
      </c>
      <c r="D109" s="127"/>
    </row>
    <row r="110" spans="1:4" ht="63" customHeight="1" x14ac:dyDescent="0.2">
      <c r="A110" s="134" t="s">
        <v>106</v>
      </c>
      <c r="B110" s="130" t="s">
        <v>444</v>
      </c>
      <c r="C110" s="127" t="s">
        <v>24</v>
      </c>
      <c r="D110" s="127"/>
    </row>
    <row r="111" spans="1:4" ht="63" customHeight="1" x14ac:dyDescent="0.2">
      <c r="A111" s="134" t="s">
        <v>107</v>
      </c>
      <c r="B111" s="130" t="s">
        <v>354</v>
      </c>
      <c r="C111" s="127" t="s">
        <v>445</v>
      </c>
      <c r="D111" s="127"/>
    </row>
    <row r="112" spans="1:4" ht="63" customHeight="1" x14ac:dyDescent="0.2">
      <c r="A112" s="134" t="s">
        <v>108</v>
      </c>
      <c r="B112" s="130" t="s">
        <v>446</v>
      </c>
      <c r="C112" s="127" t="s">
        <v>24</v>
      </c>
      <c r="D112" s="127"/>
    </row>
    <row r="113" spans="1:4" ht="63" customHeight="1" x14ac:dyDescent="0.2">
      <c r="A113" s="134" t="s">
        <v>109</v>
      </c>
      <c r="B113" s="130" t="s">
        <v>447</v>
      </c>
      <c r="C113" s="127" t="s">
        <v>448</v>
      </c>
      <c r="D113" s="127"/>
    </row>
    <row r="114" spans="1:4" ht="63" customHeight="1" x14ac:dyDescent="0.2">
      <c r="A114" s="134" t="s">
        <v>110</v>
      </c>
      <c r="B114" s="130" t="s">
        <v>593</v>
      </c>
      <c r="C114" s="127" t="s">
        <v>448</v>
      </c>
      <c r="D114" s="127"/>
    </row>
    <row r="115" spans="1:4" ht="63" customHeight="1" x14ac:dyDescent="0.2">
      <c r="A115" s="134" t="s">
        <v>111</v>
      </c>
      <c r="B115" s="130" t="s">
        <v>600</v>
      </c>
      <c r="C115" s="127" t="s">
        <v>449</v>
      </c>
      <c r="D115" s="127"/>
    </row>
    <row r="116" spans="1:4" ht="63" customHeight="1" x14ac:dyDescent="0.2">
      <c r="A116" s="134" t="s">
        <v>112</v>
      </c>
      <c r="B116" s="130" t="s">
        <v>450</v>
      </c>
      <c r="C116" s="127" t="s">
        <v>451</v>
      </c>
      <c r="D116" s="127"/>
    </row>
    <row r="117" spans="1:4" ht="63" customHeight="1" x14ac:dyDescent="0.2">
      <c r="A117" s="134" t="s">
        <v>113</v>
      </c>
      <c r="B117" s="130" t="s">
        <v>594</v>
      </c>
      <c r="C117" s="127" t="s">
        <v>24</v>
      </c>
      <c r="D117" s="127"/>
    </row>
    <row r="118" spans="1:4" ht="63" customHeight="1" x14ac:dyDescent="0.2">
      <c r="A118" s="134" t="s">
        <v>114</v>
      </c>
      <c r="B118" s="130" t="s">
        <v>452</v>
      </c>
      <c r="C118" s="127" t="s">
        <v>453</v>
      </c>
      <c r="D118" s="127"/>
    </row>
    <row r="119" spans="1:4" ht="63" customHeight="1" x14ac:dyDescent="0.2">
      <c r="A119" s="134" t="s">
        <v>115</v>
      </c>
      <c r="B119" s="130" t="s">
        <v>595</v>
      </c>
      <c r="C119" s="127" t="s">
        <v>349</v>
      </c>
      <c r="D119" s="127"/>
    </row>
    <row r="120" spans="1:4" ht="63" customHeight="1" x14ac:dyDescent="0.2">
      <c r="A120" s="134" t="s">
        <v>116</v>
      </c>
      <c r="B120" s="130" t="s">
        <v>454</v>
      </c>
      <c r="C120" s="127" t="s">
        <v>455</v>
      </c>
      <c r="D120" s="127"/>
    </row>
    <row r="121" spans="1:4" ht="63" customHeight="1" x14ac:dyDescent="0.2">
      <c r="A121" s="134" t="s">
        <v>117</v>
      </c>
      <c r="B121" s="130" t="s">
        <v>432</v>
      </c>
      <c r="C121" s="127" t="s">
        <v>24</v>
      </c>
      <c r="D121" s="127"/>
    </row>
    <row r="122" spans="1:4" ht="63" customHeight="1" x14ac:dyDescent="0.2">
      <c r="A122" s="134" t="s">
        <v>118</v>
      </c>
      <c r="B122" s="130" t="s">
        <v>456</v>
      </c>
      <c r="C122" s="127" t="s">
        <v>457</v>
      </c>
      <c r="D122" s="127"/>
    </row>
    <row r="123" spans="1:4" ht="63" customHeight="1" x14ac:dyDescent="0.2">
      <c r="A123" s="134" t="s">
        <v>119</v>
      </c>
      <c r="B123" s="130" t="s">
        <v>458</v>
      </c>
      <c r="C123" s="127" t="s">
        <v>24</v>
      </c>
      <c r="D123" s="127"/>
    </row>
    <row r="124" spans="1:4" ht="63" customHeight="1" x14ac:dyDescent="0.2">
      <c r="A124" s="134" t="s">
        <v>596</v>
      </c>
      <c r="B124" s="130" t="s">
        <v>597</v>
      </c>
      <c r="C124" s="127"/>
      <c r="D124" s="127"/>
    </row>
    <row r="125" spans="1:4" ht="63" customHeight="1" x14ac:dyDescent="0.2">
      <c r="A125" s="133" t="s">
        <v>120</v>
      </c>
      <c r="B125" s="130" t="s">
        <v>459</v>
      </c>
      <c r="C125" s="127" t="s">
        <v>460</v>
      </c>
      <c r="D125" s="127"/>
    </row>
    <row r="126" spans="1:4" ht="63" customHeight="1" x14ac:dyDescent="0.2">
      <c r="A126" s="133" t="s">
        <v>121</v>
      </c>
      <c r="B126" s="130" t="s">
        <v>607</v>
      </c>
      <c r="C126" s="127" t="s">
        <v>461</v>
      </c>
      <c r="D126" s="127"/>
    </row>
    <row r="127" spans="1:4" ht="63" customHeight="1" x14ac:dyDescent="0.2">
      <c r="A127" s="133" t="s">
        <v>122</v>
      </c>
      <c r="B127" s="130" t="s">
        <v>608</v>
      </c>
      <c r="C127" s="127" t="s">
        <v>462</v>
      </c>
      <c r="D127" s="127"/>
    </row>
    <row r="128" spans="1:4" ht="63" customHeight="1" x14ac:dyDescent="0.2">
      <c r="A128" s="133" t="s">
        <v>123</v>
      </c>
      <c r="B128" s="130" t="s">
        <v>124</v>
      </c>
      <c r="C128" s="127" t="s">
        <v>463</v>
      </c>
      <c r="D128" s="127"/>
    </row>
    <row r="129" spans="1:4" ht="63" customHeight="1" x14ac:dyDescent="0.2">
      <c r="A129" s="133" t="s">
        <v>125</v>
      </c>
      <c r="B129" s="130" t="s">
        <v>601</v>
      </c>
      <c r="C129" s="127" t="s">
        <v>464</v>
      </c>
      <c r="D129" s="127"/>
    </row>
    <row r="130" spans="1:4" ht="63" customHeight="1" x14ac:dyDescent="0.2">
      <c r="A130" s="133" t="s">
        <v>126</v>
      </c>
      <c r="B130" s="130" t="s">
        <v>609</v>
      </c>
      <c r="C130" s="127" t="s">
        <v>464</v>
      </c>
      <c r="D130" s="127"/>
    </row>
    <row r="131" spans="1:4" ht="63" customHeight="1" x14ac:dyDescent="0.2">
      <c r="A131" s="133" t="s">
        <v>127</v>
      </c>
      <c r="B131" s="130" t="s">
        <v>602</v>
      </c>
      <c r="C131" s="127" t="s">
        <v>464</v>
      </c>
      <c r="D131" s="127"/>
    </row>
    <row r="132" spans="1:4" ht="63" customHeight="1" x14ac:dyDescent="0.2">
      <c r="A132" s="133" t="s">
        <v>128</v>
      </c>
      <c r="B132" s="130" t="s">
        <v>465</v>
      </c>
      <c r="C132" s="127" t="s">
        <v>466</v>
      </c>
      <c r="D132" s="127"/>
    </row>
    <row r="133" spans="1:4" ht="63" customHeight="1" x14ac:dyDescent="0.2">
      <c r="A133" s="133" t="s">
        <v>129</v>
      </c>
      <c r="B133" s="130" t="s">
        <v>467</v>
      </c>
      <c r="C133" s="127" t="s">
        <v>468</v>
      </c>
      <c r="D133" s="127"/>
    </row>
    <row r="134" spans="1:4" ht="63" customHeight="1" x14ac:dyDescent="0.2">
      <c r="A134" s="133" t="s">
        <v>130</v>
      </c>
      <c r="B134" s="130" t="s">
        <v>603</v>
      </c>
      <c r="C134" s="127" t="s">
        <v>24</v>
      </c>
      <c r="D134" s="127"/>
    </row>
    <row r="135" spans="1:4" ht="63" customHeight="1" x14ac:dyDescent="0.2">
      <c r="A135" s="133" t="s">
        <v>131</v>
      </c>
      <c r="B135" s="130" t="s">
        <v>132</v>
      </c>
      <c r="C135" s="127" t="s">
        <v>469</v>
      </c>
      <c r="D135" s="127"/>
    </row>
    <row r="136" spans="1:4" ht="63" customHeight="1" x14ac:dyDescent="0.2">
      <c r="A136" s="133" t="s">
        <v>133</v>
      </c>
      <c r="B136" s="130" t="s">
        <v>604</v>
      </c>
      <c r="C136" s="127" t="s">
        <v>470</v>
      </c>
      <c r="D136" s="127"/>
    </row>
    <row r="137" spans="1:4" ht="63" customHeight="1" x14ac:dyDescent="0.2">
      <c r="A137" s="133" t="s">
        <v>134</v>
      </c>
      <c r="B137" s="130" t="s">
        <v>610</v>
      </c>
      <c r="C137" s="127" t="s">
        <v>471</v>
      </c>
      <c r="D137" s="127"/>
    </row>
    <row r="138" spans="1:4" ht="63" customHeight="1" x14ac:dyDescent="0.2">
      <c r="A138" s="133" t="s">
        <v>135</v>
      </c>
      <c r="B138" s="130" t="s">
        <v>472</v>
      </c>
      <c r="C138" s="127" t="s">
        <v>24</v>
      </c>
      <c r="D138" s="127"/>
    </row>
    <row r="139" spans="1:4" ht="63" customHeight="1" x14ac:dyDescent="0.2">
      <c r="A139" s="133" t="s">
        <v>136</v>
      </c>
      <c r="B139" s="130" t="s">
        <v>137</v>
      </c>
      <c r="C139" s="127" t="s">
        <v>473</v>
      </c>
      <c r="D139" s="127"/>
    </row>
    <row r="140" spans="1:4" ht="63" customHeight="1" x14ac:dyDescent="0.2">
      <c r="A140" s="133" t="s">
        <v>138</v>
      </c>
      <c r="B140" s="130" t="s">
        <v>605</v>
      </c>
      <c r="C140" s="127" t="s">
        <v>474</v>
      </c>
      <c r="D140" s="127"/>
    </row>
    <row r="141" spans="1:4" ht="63" customHeight="1" x14ac:dyDescent="0.2">
      <c r="A141" s="133" t="s">
        <v>139</v>
      </c>
      <c r="B141" s="130" t="s">
        <v>140</v>
      </c>
      <c r="C141" s="127" t="s">
        <v>475</v>
      </c>
      <c r="D141" s="127"/>
    </row>
    <row r="142" spans="1:4" ht="63" customHeight="1" x14ac:dyDescent="0.2">
      <c r="A142" s="133" t="s">
        <v>141</v>
      </c>
      <c r="B142" s="130" t="s">
        <v>606</v>
      </c>
      <c r="C142" s="127" t="s">
        <v>476</v>
      </c>
      <c r="D142" s="127"/>
    </row>
    <row r="143" spans="1:4" ht="63" customHeight="1" x14ac:dyDescent="0.2">
      <c r="A143" s="133" t="s">
        <v>142</v>
      </c>
      <c r="B143" s="130" t="s">
        <v>477</v>
      </c>
      <c r="C143" s="127" t="s">
        <v>478</v>
      </c>
      <c r="D143" s="127"/>
    </row>
    <row r="144" spans="1:4" ht="63" customHeight="1" x14ac:dyDescent="0.2">
      <c r="A144" s="133" t="s">
        <v>143</v>
      </c>
      <c r="B144" s="130" t="s">
        <v>479</v>
      </c>
      <c r="C144" s="127" t="s">
        <v>24</v>
      </c>
      <c r="D144" s="127"/>
    </row>
    <row r="145" spans="1:4" ht="63" customHeight="1" x14ac:dyDescent="0.2">
      <c r="A145" s="133" t="s">
        <v>144</v>
      </c>
      <c r="B145" s="130" t="s">
        <v>480</v>
      </c>
      <c r="C145" s="127" t="s">
        <v>481</v>
      </c>
      <c r="D145" s="127"/>
    </row>
    <row r="146" spans="1:4" ht="63" customHeight="1" x14ac:dyDescent="0.2">
      <c r="A146" s="133" t="s">
        <v>145</v>
      </c>
      <c r="B146" s="130" t="s">
        <v>146</v>
      </c>
      <c r="C146" s="127" t="s">
        <v>482</v>
      </c>
      <c r="D146" s="127"/>
    </row>
    <row r="147" spans="1:4" ht="63" customHeight="1" x14ac:dyDescent="0.2">
      <c r="A147" s="133" t="s">
        <v>483</v>
      </c>
      <c r="B147" s="130" t="s">
        <v>484</v>
      </c>
      <c r="C147" s="127" t="s">
        <v>485</v>
      </c>
      <c r="D147" s="127"/>
    </row>
    <row r="148" spans="1:4" ht="63" customHeight="1" x14ac:dyDescent="0.2">
      <c r="A148" s="133" t="s">
        <v>147</v>
      </c>
      <c r="B148" s="130" t="s">
        <v>611</v>
      </c>
      <c r="C148" s="127" t="s">
        <v>24</v>
      </c>
      <c r="D148" s="127"/>
    </row>
    <row r="149" spans="1:4" ht="63" customHeight="1" x14ac:dyDescent="0.2">
      <c r="A149" s="133" t="s">
        <v>148</v>
      </c>
      <c r="B149" s="130" t="s">
        <v>486</v>
      </c>
      <c r="C149" s="127" t="s">
        <v>24</v>
      </c>
      <c r="D149" s="127"/>
    </row>
    <row r="150" spans="1:4" ht="63" customHeight="1" x14ac:dyDescent="0.2">
      <c r="A150" s="133" t="s">
        <v>149</v>
      </c>
      <c r="B150" s="130" t="s">
        <v>487</v>
      </c>
      <c r="C150" s="128" t="s">
        <v>530</v>
      </c>
      <c r="D150" s="127" t="s">
        <v>529</v>
      </c>
    </row>
    <row r="151" spans="1:4" ht="63" customHeight="1" x14ac:dyDescent="0.2">
      <c r="A151" s="133" t="s">
        <v>150</v>
      </c>
      <c r="B151" s="130" t="s">
        <v>488</v>
      </c>
      <c r="C151" s="128" t="s">
        <v>531</v>
      </c>
      <c r="D151" s="127" t="s">
        <v>532</v>
      </c>
    </row>
    <row r="152" spans="1:4" ht="63" customHeight="1" x14ac:dyDescent="0.2">
      <c r="A152" s="133" t="s">
        <v>151</v>
      </c>
      <c r="B152" s="130" t="s">
        <v>612</v>
      </c>
      <c r="C152" s="127" t="s">
        <v>489</v>
      </c>
      <c r="D152" s="127"/>
    </row>
    <row r="153" spans="1:4" ht="63" customHeight="1" x14ac:dyDescent="0.2">
      <c r="A153" s="133" t="s">
        <v>152</v>
      </c>
      <c r="B153" s="130" t="s">
        <v>613</v>
      </c>
      <c r="C153" s="127" t="s">
        <v>489</v>
      </c>
      <c r="D153" s="127"/>
    </row>
    <row r="154" spans="1:4" ht="63" customHeight="1" x14ac:dyDescent="0.2">
      <c r="A154" s="133" t="s">
        <v>153</v>
      </c>
      <c r="B154" s="130" t="s">
        <v>614</v>
      </c>
      <c r="C154" s="127" t="s">
        <v>489</v>
      </c>
      <c r="D154" s="127"/>
    </row>
    <row r="155" spans="1:4" ht="63" customHeight="1" x14ac:dyDescent="0.2">
      <c r="A155" s="133" t="s">
        <v>154</v>
      </c>
      <c r="B155" s="130" t="s">
        <v>490</v>
      </c>
      <c r="C155" s="127" t="s">
        <v>24</v>
      </c>
      <c r="D155" s="127"/>
    </row>
    <row r="156" spans="1:4" ht="63" customHeight="1" x14ac:dyDescent="0.2">
      <c r="A156" s="133" t="s">
        <v>155</v>
      </c>
      <c r="B156" s="130" t="s">
        <v>491</v>
      </c>
      <c r="C156" s="127" t="s">
        <v>24</v>
      </c>
      <c r="D156" s="127"/>
    </row>
    <row r="157" spans="1:4" ht="63" customHeight="1" x14ac:dyDescent="0.2">
      <c r="A157" s="133" t="s">
        <v>156</v>
      </c>
      <c r="B157" s="130" t="s">
        <v>157</v>
      </c>
      <c r="C157" s="127" t="s">
        <v>158</v>
      </c>
      <c r="D157" s="127"/>
    </row>
    <row r="158" spans="1:4" ht="63" customHeight="1" x14ac:dyDescent="0.2">
      <c r="A158" s="133" t="s">
        <v>159</v>
      </c>
      <c r="B158" s="130" t="s">
        <v>160</v>
      </c>
      <c r="C158" s="127" t="s">
        <v>24</v>
      </c>
      <c r="D158" s="127"/>
    </row>
    <row r="159" spans="1:4" ht="63" customHeight="1" x14ac:dyDescent="0.2">
      <c r="A159" s="133" t="s">
        <v>161</v>
      </c>
      <c r="B159" s="130" t="s">
        <v>615</v>
      </c>
      <c r="C159" s="127" t="s">
        <v>533</v>
      </c>
      <c r="D159" s="127" t="s">
        <v>534</v>
      </c>
    </row>
    <row r="160" spans="1:4" ht="63" customHeight="1" x14ac:dyDescent="0.2">
      <c r="A160" s="133" t="s">
        <v>162</v>
      </c>
      <c r="B160" s="130" t="s">
        <v>616</v>
      </c>
      <c r="C160" s="127" t="s">
        <v>492</v>
      </c>
      <c r="D160" s="127"/>
    </row>
    <row r="161" spans="1:4" ht="63" customHeight="1" x14ac:dyDescent="0.2">
      <c r="A161" s="133" t="s">
        <v>163</v>
      </c>
      <c r="B161" s="130" t="s">
        <v>493</v>
      </c>
      <c r="C161" s="127" t="s">
        <v>536</v>
      </c>
      <c r="D161" s="127" t="s">
        <v>535</v>
      </c>
    </row>
    <row r="162" spans="1:4" ht="63" customHeight="1" x14ac:dyDescent="0.2">
      <c r="A162" s="133" t="s">
        <v>164</v>
      </c>
      <c r="B162" s="131" t="s">
        <v>617</v>
      </c>
      <c r="C162" s="127" t="s">
        <v>494</v>
      </c>
      <c r="D162" s="127"/>
    </row>
    <row r="163" spans="1:4" ht="63" customHeight="1" x14ac:dyDescent="0.2">
      <c r="A163" s="133" t="s">
        <v>165</v>
      </c>
      <c r="B163" s="130" t="s">
        <v>618</v>
      </c>
      <c r="C163" s="127" t="s">
        <v>495</v>
      </c>
      <c r="D163" s="127"/>
    </row>
    <row r="164" spans="1:4" ht="63" customHeight="1" x14ac:dyDescent="0.2">
      <c r="A164" s="133" t="s">
        <v>166</v>
      </c>
      <c r="B164" s="130" t="s">
        <v>619</v>
      </c>
      <c r="C164" s="127" t="s">
        <v>496</v>
      </c>
      <c r="D164" s="127"/>
    </row>
    <row r="165" spans="1:4" ht="63" customHeight="1" x14ac:dyDescent="0.2">
      <c r="A165" s="133" t="s">
        <v>167</v>
      </c>
      <c r="B165" s="130" t="s">
        <v>620</v>
      </c>
      <c r="C165" s="127" t="s">
        <v>497</v>
      </c>
      <c r="D165" s="127"/>
    </row>
    <row r="166" spans="1:4" ht="63" customHeight="1" x14ac:dyDescent="0.2">
      <c r="A166" s="133" t="s">
        <v>168</v>
      </c>
      <c r="B166" s="130" t="s">
        <v>498</v>
      </c>
      <c r="C166" s="127" t="s">
        <v>24</v>
      </c>
      <c r="D166" s="127"/>
    </row>
    <row r="167" spans="1:4" ht="63" customHeight="1" x14ac:dyDescent="0.2">
      <c r="A167" s="133" t="s">
        <v>169</v>
      </c>
      <c r="B167" s="130" t="s">
        <v>499</v>
      </c>
      <c r="C167" s="127" t="s">
        <v>714</v>
      </c>
      <c r="D167" s="127"/>
    </row>
    <row r="168" spans="1:4" ht="63" customHeight="1" x14ac:dyDescent="0.2">
      <c r="A168" s="133" t="s">
        <v>170</v>
      </c>
      <c r="B168" s="130" t="s">
        <v>500</v>
      </c>
      <c r="C168" s="127" t="s">
        <v>714</v>
      </c>
      <c r="D168" s="127"/>
    </row>
    <row r="169" spans="1:4" ht="63" customHeight="1" x14ac:dyDescent="0.2">
      <c r="A169" s="133" t="s">
        <v>171</v>
      </c>
      <c r="B169" s="130" t="s">
        <v>501</v>
      </c>
      <c r="C169" s="127" t="s">
        <v>502</v>
      </c>
      <c r="D169" s="127"/>
    </row>
    <row r="170" spans="1:4" ht="63" customHeight="1" x14ac:dyDescent="0.2">
      <c r="A170" s="133" t="s">
        <v>172</v>
      </c>
      <c r="B170" s="130" t="s">
        <v>503</v>
      </c>
      <c r="C170" s="127" t="s">
        <v>502</v>
      </c>
      <c r="D170" s="127"/>
    </row>
    <row r="171" spans="1:4" ht="63" customHeight="1" x14ac:dyDescent="0.2">
      <c r="A171" s="144" t="s">
        <v>648</v>
      </c>
      <c r="B171" s="130" t="s">
        <v>504</v>
      </c>
      <c r="C171" s="127" t="s">
        <v>502</v>
      </c>
      <c r="D171" s="127"/>
    </row>
    <row r="172" spans="1:4" ht="63" customHeight="1" x14ac:dyDescent="0.2">
      <c r="A172" s="126" t="s">
        <v>649</v>
      </c>
      <c r="B172" s="130" t="s">
        <v>505</v>
      </c>
      <c r="C172" s="127" t="s">
        <v>502</v>
      </c>
      <c r="D172" s="127"/>
    </row>
    <row r="173" spans="1:4" ht="63" customHeight="1" x14ac:dyDescent="0.2">
      <c r="A173" s="133" t="s">
        <v>173</v>
      </c>
      <c r="B173" s="130" t="s">
        <v>621</v>
      </c>
      <c r="C173" s="127" t="s">
        <v>506</v>
      </c>
      <c r="D173" s="127"/>
    </row>
    <row r="174" spans="1:4" ht="63" customHeight="1" x14ac:dyDescent="0.2">
      <c r="A174" s="133" t="s">
        <v>174</v>
      </c>
      <c r="B174" s="130" t="s">
        <v>622</v>
      </c>
      <c r="C174" s="127" t="s">
        <v>506</v>
      </c>
      <c r="D174" s="127"/>
    </row>
    <row r="175" spans="1:4" ht="63" customHeight="1" x14ac:dyDescent="0.2">
      <c r="A175" s="133" t="s">
        <v>175</v>
      </c>
      <c r="B175" s="130" t="s">
        <v>623</v>
      </c>
      <c r="C175" s="127" t="s">
        <v>507</v>
      </c>
      <c r="D175" s="127"/>
    </row>
    <row r="176" spans="1:4" ht="63" customHeight="1" x14ac:dyDescent="0.2">
      <c r="A176" s="133" t="s">
        <v>176</v>
      </c>
      <c r="B176" s="130" t="s">
        <v>508</v>
      </c>
      <c r="C176" s="127" t="s">
        <v>507</v>
      </c>
      <c r="D176" s="127"/>
    </row>
    <row r="177" spans="1:4" ht="63" customHeight="1" x14ac:dyDescent="0.2">
      <c r="A177" s="133" t="s">
        <v>177</v>
      </c>
      <c r="B177" s="130" t="s">
        <v>509</v>
      </c>
      <c r="C177" s="127" t="s">
        <v>507</v>
      </c>
      <c r="D177" s="127"/>
    </row>
    <row r="178" spans="1:4" ht="63" customHeight="1" x14ac:dyDescent="0.2">
      <c r="A178" s="133" t="s">
        <v>178</v>
      </c>
      <c r="B178" s="130" t="s">
        <v>510</v>
      </c>
      <c r="C178" s="127" t="s">
        <v>24</v>
      </c>
      <c r="D178" s="127"/>
    </row>
    <row r="179" spans="1:4" ht="63" customHeight="1" x14ac:dyDescent="0.2">
      <c r="A179" s="133" t="s">
        <v>179</v>
      </c>
      <c r="B179" s="130" t="s">
        <v>627</v>
      </c>
      <c r="C179" s="127" t="s">
        <v>511</v>
      </c>
      <c r="D179" s="127"/>
    </row>
    <row r="180" spans="1:4" ht="63" customHeight="1" x14ac:dyDescent="0.2">
      <c r="A180" s="133" t="s">
        <v>180</v>
      </c>
      <c r="B180" s="130" t="s">
        <v>628</v>
      </c>
      <c r="C180" s="127" t="s">
        <v>511</v>
      </c>
      <c r="D180" s="127"/>
    </row>
    <row r="181" spans="1:4" ht="63" customHeight="1" x14ac:dyDescent="0.2">
      <c r="A181" s="133" t="s">
        <v>181</v>
      </c>
      <c r="B181" s="130" t="s">
        <v>629</v>
      </c>
      <c r="C181" s="127" t="s">
        <v>511</v>
      </c>
      <c r="D181" s="127"/>
    </row>
    <row r="182" spans="1:4" ht="63" customHeight="1" x14ac:dyDescent="0.2">
      <c r="A182" s="133" t="s">
        <v>182</v>
      </c>
      <c r="B182" s="130" t="s">
        <v>630</v>
      </c>
      <c r="C182" s="127" t="s">
        <v>511</v>
      </c>
      <c r="D182" s="127"/>
    </row>
    <row r="183" spans="1:4" ht="63" customHeight="1" x14ac:dyDescent="0.2">
      <c r="A183" s="126" t="s">
        <v>646</v>
      </c>
      <c r="B183" s="130" t="s">
        <v>512</v>
      </c>
      <c r="C183" s="127" t="s">
        <v>513</v>
      </c>
      <c r="D183" s="127"/>
    </row>
    <row r="184" spans="1:4" ht="63" customHeight="1" x14ac:dyDescent="0.2">
      <c r="A184" s="133" t="s">
        <v>183</v>
      </c>
      <c r="B184" s="130" t="s">
        <v>624</v>
      </c>
      <c r="C184" s="127" t="s">
        <v>514</v>
      </c>
      <c r="D184" s="127"/>
    </row>
    <row r="185" spans="1:4" ht="63" customHeight="1" x14ac:dyDescent="0.2">
      <c r="A185" s="133" t="s">
        <v>184</v>
      </c>
      <c r="B185" s="130" t="s">
        <v>185</v>
      </c>
      <c r="C185" s="127" t="s">
        <v>515</v>
      </c>
      <c r="D185" s="127"/>
    </row>
    <row r="186" spans="1:4" ht="63" customHeight="1" x14ac:dyDescent="0.2">
      <c r="A186" s="133" t="s">
        <v>186</v>
      </c>
      <c r="B186" s="130" t="s">
        <v>187</v>
      </c>
      <c r="C186" s="127" t="s">
        <v>515</v>
      </c>
      <c r="D186" s="127"/>
    </row>
    <row r="187" spans="1:4" ht="63" customHeight="1" x14ac:dyDescent="0.2">
      <c r="A187" s="133" t="s">
        <v>188</v>
      </c>
      <c r="B187" s="130" t="s">
        <v>189</v>
      </c>
      <c r="C187" s="127" t="s">
        <v>515</v>
      </c>
      <c r="D187" s="127"/>
    </row>
    <row r="188" spans="1:4" ht="63" customHeight="1" x14ac:dyDescent="0.2">
      <c r="A188" s="133" t="s">
        <v>190</v>
      </c>
      <c r="B188" s="130" t="s">
        <v>625</v>
      </c>
      <c r="C188" s="127" t="s">
        <v>632</v>
      </c>
      <c r="D188" s="127" t="s">
        <v>537</v>
      </c>
    </row>
    <row r="189" spans="1:4" ht="63" customHeight="1" x14ac:dyDescent="0.2">
      <c r="A189" s="133" t="s">
        <v>191</v>
      </c>
      <c r="B189" s="130" t="s">
        <v>516</v>
      </c>
      <c r="C189" s="127" t="s">
        <v>632</v>
      </c>
      <c r="D189" s="127" t="s">
        <v>537</v>
      </c>
    </row>
    <row r="190" spans="1:4" ht="63" customHeight="1" x14ac:dyDescent="0.2">
      <c r="A190" s="133" t="s">
        <v>192</v>
      </c>
      <c r="B190" s="130" t="s">
        <v>517</v>
      </c>
      <c r="C190" s="127" t="s">
        <v>632</v>
      </c>
      <c r="D190" s="127" t="s">
        <v>537</v>
      </c>
    </row>
    <row r="191" spans="1:4" ht="63" customHeight="1" x14ac:dyDescent="0.2">
      <c r="A191" s="144" t="s">
        <v>645</v>
      </c>
      <c r="B191" s="130" t="s">
        <v>626</v>
      </c>
      <c r="C191" s="127" t="s">
        <v>632</v>
      </c>
      <c r="D191" s="127" t="s">
        <v>537</v>
      </c>
    </row>
    <row r="192" spans="1:4" ht="63" customHeight="1" x14ac:dyDescent="0.2">
      <c r="A192" s="144" t="s">
        <v>647</v>
      </c>
      <c r="B192" s="130" t="s">
        <v>631</v>
      </c>
      <c r="C192" s="127" t="s">
        <v>633</v>
      </c>
      <c r="D192" s="127" t="s">
        <v>538</v>
      </c>
    </row>
    <row r="193" spans="1:4" ht="63" customHeight="1" x14ac:dyDescent="0.2">
      <c r="A193" s="133" t="s">
        <v>193</v>
      </c>
      <c r="B193" s="130" t="s">
        <v>518</v>
      </c>
      <c r="C193" s="127" t="s">
        <v>633</v>
      </c>
      <c r="D193" s="127" t="s">
        <v>538</v>
      </c>
    </row>
    <row r="194" spans="1:4" ht="63" customHeight="1" x14ac:dyDescent="0.2">
      <c r="A194" s="133" t="s">
        <v>194</v>
      </c>
      <c r="B194" s="130" t="s">
        <v>519</v>
      </c>
      <c r="C194" s="127" t="s">
        <v>24</v>
      </c>
      <c r="D194" s="127"/>
    </row>
    <row r="195" spans="1:4" ht="63" customHeight="1" x14ac:dyDescent="0.2">
      <c r="A195" s="144" t="s">
        <v>664</v>
      </c>
      <c r="B195" s="130" t="s">
        <v>520</v>
      </c>
      <c r="C195" s="127" t="s">
        <v>521</v>
      </c>
      <c r="D195" s="127"/>
    </row>
    <row r="196" spans="1:4" ht="63" customHeight="1" x14ac:dyDescent="0.2">
      <c r="A196" s="144" t="s">
        <v>690</v>
      </c>
      <c r="B196" s="130" t="s">
        <v>685</v>
      </c>
      <c r="C196" s="130" t="s">
        <v>686</v>
      </c>
      <c r="D196" s="127"/>
    </row>
    <row r="197" spans="1:4" ht="63" customHeight="1" x14ac:dyDescent="0.2">
      <c r="A197" s="126" t="s">
        <v>691</v>
      </c>
      <c r="B197" s="130" t="s">
        <v>687</v>
      </c>
      <c r="C197" s="147" t="s">
        <v>693</v>
      </c>
    </row>
    <row r="198" spans="1:4" ht="63" customHeight="1" x14ac:dyDescent="0.2">
      <c r="A198" s="144" t="s">
        <v>692</v>
      </c>
      <c r="B198" s="130" t="s">
        <v>688</v>
      </c>
      <c r="C198" s="130" t="s">
        <v>689</v>
      </c>
    </row>
    <row r="199" spans="1:4" ht="63" customHeight="1" x14ac:dyDescent="0.2">
      <c r="A199" s="126" t="s">
        <v>734</v>
      </c>
      <c r="B199" s="130" t="s">
        <v>732</v>
      </c>
      <c r="C199" s="129" t="s">
        <v>733</v>
      </c>
    </row>
    <row r="200" spans="1:4" ht="63" customHeight="1" x14ac:dyDescent="0.2">
      <c r="A200" s="144" t="s">
        <v>736</v>
      </c>
      <c r="B200" s="130" t="s">
        <v>738</v>
      </c>
      <c r="C200" s="130" t="s">
        <v>739</v>
      </c>
    </row>
    <row r="201" spans="1:4" ht="63" customHeight="1" x14ac:dyDescent="0.2">
      <c r="A201" s="126" t="s">
        <v>737</v>
      </c>
      <c r="B201" s="130" t="s">
        <v>740</v>
      </c>
      <c r="C201" s="130" t="s">
        <v>741</v>
      </c>
    </row>
  </sheetData>
  <sheetProtection formatCells="0" formatColumns="0" formatRows="0" insertHyperlinks="0" deleteColumns="0" deleteRows="0" sort="0" autoFilter="0" pivotTable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Programación</vt:lpstr>
      <vt:lpstr>VG -Viga</vt:lpstr>
      <vt:lpstr>CIL -Cilindro</vt:lpstr>
      <vt:lpstr>NC - Núcleo Concreto</vt:lpstr>
      <vt:lpstr>base</vt:lpstr>
      <vt:lpstr>'CIL -Cilindro'!Área_de_impresión</vt:lpstr>
      <vt:lpstr>'NC - Núcleo Concreto'!Área_de_impresión</vt:lpstr>
      <vt:lpstr>Programación!Área_de_impresión</vt:lpstr>
      <vt:lpstr>'VG -Viga'!Área_de_impresión</vt:lpstr>
    </vt:vector>
  </TitlesOfParts>
  <Company>SUELOS Y PAVIMENTOS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SUELOS Y PAVIMENTOS</dc:creator>
  <cp:lastModifiedBy>METROLOGO</cp:lastModifiedBy>
  <cp:lastPrinted>2023-08-15T16:33:44Z</cp:lastPrinted>
  <dcterms:created xsi:type="dcterms:W3CDTF">2008-09-19T15:30:56Z</dcterms:created>
  <dcterms:modified xsi:type="dcterms:W3CDTF">2025-04-30T16:10:01Z</dcterms:modified>
</cp:coreProperties>
</file>